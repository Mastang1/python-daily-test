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tangyapeng\repos\type_py\python-daily-test\"/>
    </mc:Choice>
  </mc:AlternateContent>
  <xr:revisionPtr revIDLastSave="0" documentId="13_ncr:1_{6766E68E-EE1F-4A85-BAE6-60153D9F0057}" xr6:coauthVersionLast="47" xr6:coauthVersionMax="47" xr10:uidLastSave="{00000000-0000-0000-0000-000000000000}"/>
  <bookViews>
    <workbookView xWindow="33480" yWindow="-120" windowWidth="38640" windowHeight="21240" tabRatio="793" activeTab="3" xr2:uid="{00000000-000D-0000-FFFF-FFFF00000000}"/>
  </bookViews>
  <sheets>
    <sheet name="Cover" sheetId="1" r:id="rId1"/>
    <sheet name="Change History" sheetId="2" r:id="rId2"/>
    <sheet name="Reference" sheetId="3" r:id="rId3"/>
    <sheet name="Test Case Report" sheetId="4" r:id="rId4"/>
    <sheet name="Traceability" sheetId="5" r:id="rId5"/>
    <sheet name="General Information" sheetId="6" r:id="rId6"/>
    <sheet name="Summary" sheetId="7" r:id="rId7"/>
    <sheet name="Template Version" sheetId="8" r:id="rId8"/>
  </sheets>
  <externalReferences>
    <externalReference r:id="rId9"/>
    <externalReference r:id="rId10"/>
  </externalReferences>
  <definedNames>
    <definedName name="___GoA1">'[1]Change History'!___GoA1</definedName>
    <definedName name="___GoA2">'[1]Change History'!___GoA2</definedName>
    <definedName name="__GoA1">'[1]Change History'!__GoA1</definedName>
    <definedName name="__GoA2">'[1]Change History'!__GoA2</definedName>
    <definedName name="_GoA1">'[1]Change History'!_GoA1</definedName>
    <definedName name="_GoA2">'[1]Change History'!_GoA2</definedName>
    <definedName name="_Toc40799055" localSheetId="5">'General Information'!$A$8</definedName>
    <definedName name="_Toc40799056" localSheetId="5">'General Information'!#REF!</definedName>
    <definedName name="_Toc40799057" localSheetId="5">'General Information'!$A$43</definedName>
    <definedName name="Capture.Capture">'[1]Change History'!Capture.Capture</definedName>
    <definedName name="Capture1.Capture1">'[1]Change History'!Capture1.Capture1</definedName>
    <definedName name="compDate">[2]Matrix矩阵!$L$1</definedName>
    <definedName name="descript">[2]Matrix矩阵!$F$2</definedName>
    <definedName name="drbfm_trans">[2]Matrix矩阵!$L$4</definedName>
    <definedName name="drbfmNo">[2]Matrix矩阵!$F$5</definedName>
    <definedName name="kdate">[2]Matrix矩阵!$I$2</definedName>
    <definedName name="LookList">#REF!</definedName>
    <definedName name="Moduls_XXXX">#REF!</definedName>
    <definedName name="my">[2]Matrix矩阵!$F$3</definedName>
    <definedName name="preparer">[2]Matrix矩阵!$I$1</definedName>
    <definedName name="program">[2]Matrix矩阵!$F$4</definedName>
    <definedName name="resp">[2]Matrix矩阵!$L$2</definedName>
    <definedName name="resp2">[2]Matrix矩阵!$L$3</definedName>
    <definedName name="revdate">[2]Matrix矩阵!$I$4</definedName>
    <definedName name="vpps">[2]Matrix矩阵!$I$3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1" i="7" l="1"/>
  <c r="D8" i="7"/>
  <c r="D7" i="7"/>
  <c r="D6" i="7"/>
  <c r="D21" i="7" s="1"/>
  <c r="E8" i="7" l="1"/>
  <c r="D9" i="7"/>
  <c r="E9" i="7" s="1"/>
  <c r="D10" i="7"/>
  <c r="E10" i="7" s="1"/>
  <c r="E7" i="7"/>
</calcChain>
</file>

<file path=xl/sharedStrings.xml><?xml version="1.0" encoding="utf-8"?>
<sst xmlns="http://schemas.openxmlformats.org/spreadsheetml/2006/main" count="669" uniqueCount="304">
  <si>
    <t>Software Requirement Test Report
软件需求测试报告</t>
  </si>
  <si>
    <t>&lt;SG-C1-xxx_xxx&gt;</t>
  </si>
  <si>
    <t>&lt;Version  V0.8&gt;</t>
  </si>
  <si>
    <t>CHANGE HISTORY
变更历史</t>
  </si>
  <si>
    <t>Version no.
版本号</t>
  </si>
  <si>
    <t>Author
作者</t>
  </si>
  <si>
    <t>Date
时间</t>
  </si>
  <si>
    <t>Status</t>
  </si>
  <si>
    <t>Approved by
批准人</t>
  </si>
  <si>
    <t>Description of changes
变更描述</t>
  </si>
  <si>
    <t>V0.8</t>
  </si>
  <si>
    <t>倘亚朋</t>
  </si>
  <si>
    <t>Draft</t>
  </si>
  <si>
    <t>安然</t>
  </si>
  <si>
    <t>初始</t>
  </si>
  <si>
    <t>Reference 参考文献</t>
  </si>
  <si>
    <t>No.</t>
  </si>
  <si>
    <t>Document Title</t>
  </si>
  <si>
    <t>Author</t>
  </si>
  <si>
    <t>Version</t>
  </si>
  <si>
    <t>MCAL_CAN_DRV 软件架构规范-Software architecture design specification</t>
  </si>
  <si>
    <t>赵笃</t>
  </si>
  <si>
    <t>V1.0</t>
  </si>
  <si>
    <t>已发布</t>
  </si>
  <si>
    <t>C1_软件需求规范</t>
  </si>
  <si>
    <t>喻明睿</t>
  </si>
  <si>
    <t>C1_Software Test Plan</t>
  </si>
  <si>
    <t>Test Case No.
测试用例ID</t>
  </si>
  <si>
    <t>Upstream SW requirement ID
上游需求ID</t>
  </si>
  <si>
    <t>Case deriving method
用例生成方法</t>
  </si>
  <si>
    <t>Test Method
测试方法</t>
  </si>
  <si>
    <t>Test Environment
测试环境</t>
  </si>
  <si>
    <t>Group
类别</t>
  </si>
  <si>
    <t>Exception Mode
执行方式</t>
  </si>
  <si>
    <t>Precondition
预置条件</t>
  </si>
  <si>
    <t>Test Process
测试步骤</t>
  </si>
  <si>
    <t>Expected Results
预期结果</t>
  </si>
  <si>
    <t>Case designer
用例设计者</t>
  </si>
  <si>
    <t>Case Status
用例状态</t>
  </si>
  <si>
    <t>Case Released Date
用例发布时间</t>
  </si>
  <si>
    <t>Case Result
用例结果</t>
  </si>
  <si>
    <t>Select or Not
是否测试</t>
  </si>
  <si>
    <t>Test Log
测试记录</t>
  </si>
  <si>
    <t>Test Result
测试结果</t>
  </si>
  <si>
    <t>Remark
标记</t>
  </si>
  <si>
    <t>IPCS_FAULT_TC_000</t>
  </si>
  <si>
    <t xml:space="preserve"> IPCS_023</t>
  </si>
  <si>
    <t>需求测试</t>
  </si>
  <si>
    <t>RDB02</t>
  </si>
  <si>
    <t>NULL</t>
  </si>
  <si>
    <t>自动</t>
  </si>
  <si>
    <t>1.测试控制器与RDB02连接正确，RDB02平台正常启动；
2.IPCS配置初始化完成，回调函数定义实现，预定义消息字符串；
3.测试instance具有三个manage channels， pool buffer size分别为16 bytes， 256 bytes， 4096 bytes。</t>
  </si>
  <si>
    <t>1. 测试控制器发送测试调度命令，切换target环境到指定的工作状态；
2. 测试控制器发送ipcsFaultTc000测试命令到target端；
3. 测试控制器发送结果获取命令，获取target端对接收数据校验的结果；</t>
  </si>
  <si>
    <t>测试控制器接收两个测试核心的执行流程结果正常，表明LOCAL、REMOTE所有测试点测试正常。</t>
  </si>
  <si>
    <t>20251205_12_00_21</t>
  </si>
  <si>
    <t>Yes</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</si>
  <si>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9tcf@Run API testCmd_setNextTestType on core 0. Result: Passed@tcf
Test info from target:  -- parameter 9tcf@Run API testCmd_setNextTestType on core 1. Result: Passed@tcf
Test info from target:  -- parameter 750
[Fault-test suite-tc00] test.
tcf@Run API ipcsTc_faultMissingInterruptTc00 on core 0. Result: Passed@tcf
Test info from target: [TEST RESULT] -&gt;
[core id: 5][trace id: 0] [INSTANCE 1 -- CHANNEL 1 -- Current message number: 749 ] test passed.
tcf@Run API testCmd_getTestResult on core 1. Result: Passed@tcf</t>
  </si>
  <si>
    <t>Pass</t>
  </si>
  <si>
    <t>IPCS_FAULT_TC_001</t>
  </si>
  <si>
    <t>1. 测试控制器发送测试调度命令，切换target环境到指定的工作状态；
2. 测试控制器发送ipcsFaultTc001测试命令到target端；
3. 测试控制器发送结果获取命令，获取target端对接收数据校验的结果；</t>
  </si>
  <si>
    <t>20251205_12_01_15</t>
  </si>
  <si>
    <t>Test info from target:  -- parameter 0tcf@Run API testCmd_setTestPhaseFlag on core 0. Result: Passed@tcf
Test info from target:  -- parameter 0tcf@Run API testCmd_setTestPhaseFlag on core 1. Result: Passed@tcf
Test info from target:  -- parameter 85, 14, 73, 71, 26, 29, 34, 70, 59, 97, 2, 73, 59, 34, 41, 35, 30, 3, 68, 70, 43, 7, 22, 48, 13, 81, 51, 95, 0, 90, 3, 34, 27, 60, 18, 65, 37, 90, 56, 92, 54, 23, 39, 16, 50, 93, 95, 65, 71, 10, 50, 53, 39, 68, 90, 14, 41, 26, 80, 16, 11, 46, 38, 96, , 90, 23, 3, 45, 88, 32, 87, 21, 8, 80, 15, 92, 89, 49, 22, 68, 73, 76, 42, 81, 66, 13, 82, 0, 43, 43, 19, 84, 25, 61, 38, 32, 68, 10, 72
tcf@Run API testCmd_updateRandNums on core 0. Result: Passed@tcf
Test info from target:  -- parameter 85, 14, 73, 71, 26, 29, 34, 70, 59, 97, 2, 73, 59, 34, 41, 35, 30, 3, 68, 70, 43, 7, 22, 48, 13, 81, 51, 95, 0, 90, 3, 34, 27, 60, 18, 65, 37, 90, 56, 92, 54, 23, 39, 16, 50, 93, 95, 65, 71, 10, 50, 53, 39, 68, 90, 14, 41, 26, 80, 16, 11, 46, 38, 96, , 90, 23, 3, 45, 88, 32, 87, 21, 8, 80, 15, 92, 89, 49, 22, 68, 73, 76, 42, 81, 66, 13, 82, 0, 43, 43, 19, 84, 25, 61, 38, 32, 68, 10, 72
tcf@Run API testCmd_updateRandNums on core 1. Result: Passed@tcf
Test info from target: tcf@Run API testCmd_resetTestMngr on core 0. Result: Passed@tcf
Test info from target: tcf@Run API testCmd_resetTestMngr on core 1. Result: Passed@tcf
Test info from target:  -- parameter 10tcf@Run API testCmd_setNextTestType on core 0. Result: Passed@tcf
Test info from target:  -- parameter 10tcf@Run API testCmd_setNextTestType on core 1. Result: Passed@tcf
Test info from target:  -- parameter 300
[Fault-test suite-tc01] test.
tcf@Run API ipcsTc_faultMissingInterruptTc01 on core 0. Result: Passed@tcf
Test info from target: [TEST RESULT] -&gt;
[core id: 5][trace id: 0] [INSTANCE 1 -- CHANNEL 1 -- Current message number: 299 ] test passed.
tcf@Run API testCmd_getTestResult on core 1. Result: Passed@tcf</t>
  </si>
  <si>
    <t>IPCS_FAULT_TC_002</t>
  </si>
  <si>
    <t>1. 测试控制器发送测试调度命令，切换target环境到指定的工作状态；
2. 测试控制器发送ipcsFaultTc002测试命令到target端；
3. 测试控制器发送结果获取命令，获取target端对接收数据校验的结果；</t>
  </si>
  <si>
    <t>20251205_12_02_16</t>
  </si>
  <si>
    <t>Test info from target:  -- parameter 0tcf@Run API testCmd_setTestPhaseFlag on core 0. Result: Passed@tcf
Test info from target:  -- parameter 0tcf@Run API testCmd_setTestPhaseFlag on core 1. Result: Passed@tcf
Test info from target:  -- parameter 40, 47, 43, 87, 74, 79, 38, 13, 6, 70, 44, 86, 26, 96, 32, 22, 77, 19, 0, 80, 24, 50, 12, 43, 6, 65, 84, 29, 13, 38, 53, 3, 4, 75, 81, 12, 80, 34, 48, 52, 52, 84, 21, 98, 65, 12, 31, 20, 8, 82, 85, 70, 64, 68, 43, 79, 63, 30, 41, 100, 87, 87, 83, 93, , 29, 31, 94, 89, 97, 100, 23, 23, 30, 80, 41, 1, 82, 9, 87, 33, 19, 51, 45, 2, 99, 51, 38, 2, 62, 0, 48, 64, 67, 35, 3, 74, 70, 44, 26
tcf@Run API testCmd_updateRandNums on core 0. Result: Passed@tcf
Test info from target:  -- parameter 40, 47, 43, 87, 74, 79, 38, 13, 6, 70, 44, 86, 26, 96, 32, 22, 77, 19, 0, 80, 24, 50, 12, 43, 6, 65, 84, 29, 13, 38, 53, 3, 4, 75, 81, 12, 80, 34, 48, 52, 52, 84, 21, 98, 65, 12, 31, 20, 8, 82, 85, 70, 64, 68, 43, 79, 63, 30, 41, 100, 87, 87, 83, 93, , 29, 31, 94, 89, 97, 100, 23, 23, 30, 80, 41, 1, 82, 9, 87, 33, 19, 51, 45, 2, 99, 51, 38, 2, 62, 0, 48, 64, 67, 35, 3, 74, 70, 44, 26
tcf@Run API testCmd_updateRandNums on core 1. Result: Passed@tcf
Test info from target: tcf@Run API testCmd_resetTestMngr on core 0. Result: Passed@tcf
Test info from target: tcf@Run API testCmd_resetTestMngr on core 1. Result: Passed@tcf
Test info from target:  -- parameter 11tcf@Run API testCmd_setNextTestType on core 0. Result: Passed@tcf
Test info from target:  -- parameter 11tcf@Run API testCmd_setNextTestType on core 1. Result: Passed@tcf
-- parameter 100, 256, 300
[fault injection test suite tc02] test.
Test info from target:  -- parameter 100, 256, 300
[fault injection test suite tc02] test.
tcf@Run API ipcsTc_faultMissingInterruptTc02 on core 0. Result: Passed@tcf
Test info from target: [TEST RESULT] -&gt;
[core id: 5][trace id: 0] [test channel 0 received frames 100] [test channel 0 received frames 256] [test channel 0 received frames 300].                                         all test channels test passed.
tcf@Run API testCmd_getTestResult on core 1. Result: Passed@tcf
*
*</t>
  </si>
  <si>
    <t>IPCS_FAULT_TC_003</t>
  </si>
  <si>
    <t xml:space="preserve"> IPCS_022</t>
  </si>
  <si>
    <t>1. 测试控制器发送测试调度命令，切换target环境到指定的工作状态；
2. 测试控制器发送ipcsFaultTc003测试命令到target端；
3. 测试控制器发送结果获取命令，获取target端对接收数据校验的结果；</t>
  </si>
  <si>
    <t>20251205_12_03_11</t>
  </si>
  <si>
    <t>Test info from target:  -- parameter 0tcf@Run API testCmd_setTestPhaseFlag on core 0. Result: Passed@tcf
Test info from target:  -- parameter 0tcf@Run API testCmd_setTestPhaseFlag on core 1. Result: Passed@tcf
Test info from target:  -- parameter 15, 77, 56, 10, 2, 92, 53, 28, 15, 96, 57, 87, 82, 64, 22, 67, 2, 16, 62, 1, 90, 15, 88, 26, 15, 68, 16, 98, 32, 43, 88, 70, 98, 16, 69, 18, 11, 28, 8, 7, 37, 60, 0, 89, 40, 89, 91, 78, 62, 76, 44, 37, 96, 78, 43, 57, 49, 99, 84, 66, 1, 89, 9, 32, , 100, 2, 80, 69, 48, 48, 48, 54, 94, 64, 76, 89, 89, 60, 89, 78, 51, 93, 32, 7, 96, 54, 36, 47, 87, 42, 75, 7, 4, 8, 11, 97, 78, 1, 25
tcf@Run API testCmd_updateRandNums on core 0. Result: Passed@tcf
Test info from target:  -- parameter 15, 77, 56, 10, 2, 92, 53, 28, 15, 96, 57, 87, 82, 64, 22, 67, 2, 16, 62, 1, 90, 15, 88, 26, 15, 68, 16, 98, 32, 43, 88, 70, 98, 16, 69, 18, 11, 28, 8, 7, 37, 60, 0, 89, 40, 89, 91, 78, 62, 76, 44, 37, 96, 78, 43, 57, 49, 99, 84, 66, 1, 89, 9, 32, , 100, 2, 80, 69, 48, 48, 48, 54, 94, 64, 76, 89, 89, 60, 89, 78, 51, 93, 32, 7, 96, 54, 36, 47, 87, 42, 75, 7, 4, 8, 11, 97, 78, 1, 25
tcf@Run API testCmd_updateRandNums on core 1. Result: Passed@tcf
Test info from target: tcf@Run API testCmd_resetTestMngr on core 0. Result: Passed@tcf
Test info from target: tcf@Run API testCmd_resetTestMngr on core 1. Result: Passed@tcf
Test info from target:  -- parameter 12tcf@Run API testCmd_setNextTestType on core 0. Result: Passed@tcf
Test info from target:  -- parameter 12tcf@Run API testCmd_setNextTestType on core 1. Result: Passed@tcf
Test info from target:  -- parameter 750
[Fault-test suite-tc03] test.
tcf@Run API ipcsTc_faultInjectSpuirousInterTc03 on core 0. Result: Passed@tcf
Test info from target: [TEST RESULT] -&gt;
[core id: 5][trace id: 0] [INSTANCE 1 -- CHANNEL 1 -- Current message number: 749 ] test passed.
tcf@Run API testCmd_getTestResult on core 1. Result: Passed@tcf</t>
  </si>
  <si>
    <t>IPCS_FAULT_TC_004</t>
  </si>
  <si>
    <t>1. 测试控制器发送测试调度命令，切换target环境到指定的工作状态；
2. 测试控制器发送ipcsFaultTc004测试命令到target端；
3. 测试控制器发送结果获取命令，获取target端对接收数据校验的结果；</t>
  </si>
  <si>
    <t>20251205_12_04_10</t>
  </si>
  <si>
    <t>Test info from target:  -- parameter 0tcf@Run API testCmd_setTestPhaseFlag on core 0. Result: Passed@tcf
Test info from target:  -- parameter 0tcf@Run API testCmd_setTestPhaseFlag on core 1. Result: Passed@tcf
Test info from target:  -- parameter 27, 50, 46, 90, 61, 89, 30, 55, 97, 5, 85, 48, 12, 65, 16, 18, 79, 63, 85, 90, 66, 23, 37, 55, 48, 2, 51, 42, 89, 6, 31, 5, 25, 16, 56, 93, 49, 31, 32, 72, 78, 56, 34, 65, 18, 13, 97, 26, 85, 88, 67, 28, 70, 10, 36, 37, 64, 98, 41, 85, 32, 97, 59, 34, , 61, 23, 33, 68, 93, 22, 0, 0, 96, 69, 52, 18, 85, 60, 43, 51, 53, 43, 17, 85, 23, 81, 95, 51, 44, 50, 94, 99, 92, 93, 17, 96, 50, 60, 4
tcf@Run API testCmd_updateRandNums on core 0. Result: Passed@tcf
Test info from target:  -- parameter 27, 50, 46, 90, 61, 89, 30, 55, 97, 5, 85, 48, 12, 65, 16, 18, 79, 63, 85, 90, 66, 23, 37, 55, 48, 2, 51, 42, 89, 6, 31, 5, 25, 16, 56, 93, 49, 31, 32, 72, 78, 56, 34, 65, 18, 13, 97, 26, 85, 88, 67, 28, 70, 10, 36, 37, 64, 98, 41, 85, 32, 97, 59, 34, , 61, 23, 33, 68, 93, 22, 0, 0, 96, 69, 52, 18, 85, 60, 43, 51, 53, 43, 17, 85, 23, 81, 95, 51, 44, 50, 94, 99, 92, 93, 17, 96, 50, 60, 4
tcf@Run API testCmd_updateRandNums on core 1. Result: Passed@tcf
Test info from target: tcf@Run API testCmd_resetTestMngr on core 0. Result: Passed@tcf
Test info from target: tcf@Run API testCmd_resetTestMngr on core 1. Result: Passed@tcf
Test info from target:  -- parameter 13tcf@Run API testCmd_setNextTestType on core 0. Result: Passed@tcf
Test info from target:  -- parameter 13tcf@Run API testCmd_setNextTestType on core 1. Result: Passed@tcf
-- parameter 1500
Test info from target:  -- parameter 1500
tcf@Run API ipcsTc_faultInjectSpuirousInterTc04 on core 0. Result: Passed@tcf
Test info from target: [TEST RESULT] -&gt;
[core id: 5][trace id: 0] [INSTANCE 1 -- CHANNEL 1 -- Current message number: 1499 ] test passed.
tcf@Run API testCmd_getTestResult on core 1. Result: Passed@tcf</t>
  </si>
  <si>
    <t>IPCS_FAULT_TC_005</t>
  </si>
  <si>
    <t>1. 测试控制器发送测试调度命令，切换target环境到指定的工作状态；
2. 测试控制器发送ipcsFaultTc005测试命令到target端；
3. 测试控制器发送结果获取命令，获取target端对接收数据校验的结果；</t>
  </si>
  <si>
    <t>20251205_12_05_18</t>
  </si>
  <si>
    <t>Test info from target:  -- parameter 0tcf@Run API testCmd_setTestPhaseFlag on core 0. Result: Passed@tcf
Test info from target:  -- parameter 0tcf@Run API testCmd_setTestPhaseFlag on core 1. Result: Passed@tcf
Test info from target:  -- parameter 62, 41, 68, 52, 66, 61, 12, 25, 11, 44, 30, 1, 38, 56, 29, 82, 41, 18, 16, 96, 12, 64, 55, 79, 10, 92, 47, 86, 95, 3, 0, 16, 70, 10, 70, 53, 45, 60, 100, 34, 58, 84, 57, 70, 43, 25, 45, 83, 81, 12, 31, 73, 59, 60, 64, 33, 67, 54, 40, 89, 96, 30, 85, 13, , 65, 49, 15, 28, 0, 51, 0, 75, 26, 91, 65, 90, 36, 3, 34, 38, 25, 91, 52, 71, 2, 99, 94, 13, 42, 32, 69, 73, 29, 49, 21, 4, 94, 91, 22
tcf@Run API testCmd_updateRandNums on core 0. Result: Passed@tcf
Test info from target:  -- parameter 62, 41, 68, 52, 66, 61, 12, 25, 11, 44, 30, 1, 38, 56, 29, 82, 41, 18, 16, 96, 12, 64, 55, 79, 10, 92, 47, 86, 95, 3, 0, 16, 70, 10, 70, 53, 45, 60, 100, 34, 58, 84, 57, 70, 43, 25, 45, 83, 81, 12, 31, 73, 59, 60, 64, 33, 67, 54, 40, 89, 96, 30, 85, 13, , 65, 49, 15, 28, 0, 51, 0, 75, 26, 91, 65, 90, 36, 3, 34, 38, 25, 91, 52, 71, 2, 99, 94, 13, 42, 32, 69, 73, 29, 49, 21, 4, 94, 91, 22
tcf@Run API testCmd_updateRandNums on core 1. Result: Passed@tcf
Test info from target: tcf@Run API testCmd_resetTestMngr on core 0. Result: Passed@tcf
Test info from target: tcf@Run API testCmd_resetTestMngr on core 1. Result: Passed@tcf
Test info from target:  -- parameter 14tcf@Run API testCmd_setNextTestType on core 0. Result: Passed@tcf
Test info from target:  -- parameter 14tcf@Run API testCmd_setNextTestType on core 1. Result: Passed@tcf
-- parameter 1000, 1200, 1300
[fault injection test suite tc05] test.
Test info from target:  -- parameter 1000, 1200, 1300
[fault injection test suite tc05] test.
tcf@Run API ipcsTc_faultInjectSpuirousInterTc05 on core 0. Result: Passed@tcf
Test info from target: [TEST RESULT] -&gt;
[core id: 5][trace id: 0] [test channel 0 received frames 1000] [test channel 0 received frames 1200] [test channel 0 received frames 1300].                                         all test channels test passed.
tcf@Run API testCmd_getTestResult on core 1. Result: Passed@tcf
*
*</t>
  </si>
  <si>
    <t>IPCS_FAULT_TC_006</t>
  </si>
  <si>
    <t xml:space="preserve"> IPCS_014,  IPCS_015</t>
  </si>
  <si>
    <t>1. 测试控制器发送测试调度命令，切换target环境到指定的工作状态；
2. 测试控制器发送ipcsFaultTc006测试命令到target端；
3. 测试控制器发送结果获取命令，获取target端对接收数据校验的结果；</t>
  </si>
  <si>
    <t>20251205_12_06_14</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</si>
  <si>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15tcf@Run API testCmd_setNextTestType on core 0. Result: Passed@tcf
Test info from target:  -- parameter 15tcf@Run API testCmd_setNextTestType on core 1. Result: Passed@tcf
-- parameter 1000, 1000, 1000
[fault injection test suite tc06] test.
Test info from target:  -- parameter 1000, 1000, 1000
[fault injection test suite tc06] test.
tcf@Run API ipcsTc_faultInjectFifoVarifTc06 on core 0. Result: Passed@tcf
Test info from target: [TEST RESULT] -&gt;
[core id: 5][trace id: 0] [test channel 0 received frames 1000] [test channel 0 received frames 1000] [test channel 0 received frames 1000].                                         all test channels test passed.
tcf@Run API testCmd_getTestResult on core 1. Result: Passed@tcf</t>
  </si>
  <si>
    <t>IPCS_FAULT_TC_007</t>
  </si>
  <si>
    <t>1. 测试控制器发送测试调度命令，切换target环境到指定的工作状态；
2. 测试控制器发送ipcsFaultTc007测试命令到target端；
3. 测试控制器发送结果获取命令，获取target端对接收数据校验的结果；</t>
  </si>
  <si>
    <t>20251205_12_06_54</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</si>
  <si>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16tcf@Run API testCmd_setNextTestType on core 0. Result: Passed@tcf
Test info from target:  -- parameter 16tcf@Run API testCmd_setNextTestType on core 1. Result: Passed@tcf
Test info from target: [Fault-test suite-tc07] test.
tcf@Run API ipcsTc_faultInjectFifoVarifTc07 on core 0. Result: Passed@tcf
Test info from target: [TEST RESULT] -&gt;
[core id: 5][trace id: 0] [INSTANCE 1 -- CHANNEL 1 -- Current message number: 127 ] test passed.
tcf@Run API testCmd_getTestResult on core 1. Result: Passed@tcf
*
*</t>
  </si>
  <si>
    <t>IPCS_PERF_TC_000</t>
  </si>
  <si>
    <t xml:space="preserve"> IPCS_010</t>
  </si>
  <si>
    <t xml:space="preserve">
1.测试控制器与RDB02连接正确，RDB02平台正常启动, CM7系统时钟频率为400MHz，OS调度频率为1000Hz；
2.IPCS配置初始化完成，回调函数定义实现，预定义消息字符串；
3.测试instance具有三个manage channels， pool buffer size分别为16 bytes， 256 bytes， 4096 bytes。</t>
  </si>
  <si>
    <t>1. 测试控制器发送测试调度命令，切换target环境到IPCS性能测试状态；
2. 测试控制器发送ipcsHalfduplexL2R(&lt;执行时间段参数&gt;)测试命令，自动测试脚本阻塞等待来自target端的应带，应带结果以字符串形式返回性能信息；</t>
  </si>
  <si>
    <t>测试控制器接收两个测试核心的执行流程结果正常，表明LOCAL、REMOTE所有测试点测试正常，返回的性能参数信息有效。</t>
  </si>
  <si>
    <t>20251205_12_07_51</t>
  </si>
  <si>
    <t>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20 seconds ...
================================================================================
Performance test result info:
Test info from target:  -- parameter 20
[Performance test suite tc00] test.
[Local core performance testing result[Maximum delay: 0] ] -time start:1639196330, stop: 1659196576 -buffer count:54210, throughput in buffer per second:2710.500000.
tcf@Run API ipcsTc_perfTsHalfduplexL2R on core 0. Result: Passed@tcf
================================================================================
Test info from target:  -- parameter 3List the instance 892355116 ring buffer info:
-- Push ring buffer: W:   9, R: 132.
-- Pop  ring buffer: W: 131, R:  10.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t>
  </si>
  <si>
    <t>IPCS_PERF_TC_001</t>
  </si>
  <si>
    <t>1. 测试控制器发送测试调度命令，切换target环境到IPCS性能测试状态；
2. 测试控制器发送ipcsHalfduplexR2L(&lt;执行时间段参数&gt;)测试命令，该命令trigger REMOTE端执行执行时间段参数时间内到LOCAL节点的数据持续发送；
3. LOCAL节点在切换到性能测试状态后，IPCS接受Callback函数会直接release接收到的buffer；
4. 等待通信完成，测试控制器发送getResult()命令到REMOTE NODE，获取执行完成后的性能参数信息，一字符串形式返回到测试控制器；</t>
  </si>
  <si>
    <t>20251205_12_14_07</t>
  </si>
  <si>
    <t>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20 seconds ...
Test info from target:  -- parameter 20
[Performance test suite tc01] test.
tcf@Run API ipcsTc_perfTsHalfduplexR2LTrigger on core 0. Result: Passed@tcf
Test info from target:  -- parameter 3List the instance 892355116 ring buffer info:
-- Push ring buffer: W: 130, R:  92.
-- Pop  ring buffer: W:  91, R: 131.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performance testing result[Maximum delay: 0] ] --time start:1991313014, stop: 2011313240 -buffer count:54348, throughput in buffer per second:2717.399902.
tcf@Run API testCmd_getTestResult on core 1. Result: Passed@tcf
================================================================================</t>
  </si>
  <si>
    <t>IPCS_PERF_TC_002</t>
  </si>
  <si>
    <t>性能</t>
  </si>
  <si>
    <t>1. 测试控制器发送测试调度命令，切换target环境到IPCS性能测试状态；
2. 测试控制器发送ipcsFullDuplex(&lt;执行时间段参数&gt;)测试命令，该命令trigger REMOTE端执行执行时间段参数时间内到LOCAL节点的数据持续发送,同时LOCAL命令执行线程
同步执行LOCAL-&gt;REMOTE的数据发送；
3. LOCAL/REMOTE节点在切换到性能测试状态后，IPCS接受Callback函数会直接release接收到的buffer；
4. 等待通信完成，测试控制器发送getResult()命令到REMOTE NODE，获取执行完成后的性能参数信息，以字符串形式返回到测试控制器；</t>
  </si>
  <si>
    <t>20251205_12_23_12</t>
  </si>
  <si>
    <t>Fail</t>
  </si>
  <si>
    <t>IPCS_PERF_TC_003</t>
  </si>
  <si>
    <t>1. 测试控制器发送测试调度命令，切换target环境到IPCS批量发送性能测试状态；
2. 测试控制器发送测试buffer次数到REMOTE／LOCAL节点；
3. 测试控制器发送BurstHalfDuplexThroughput()测试命令。target端自动执行批量buffer发送，并等待来自REMOTE端的release通知，然后在当前测试函数中执行吞吐量计算，并以字符串形式返回到测试控制器端；</t>
  </si>
  <si>
    <t>20251205_12_38_23</t>
  </si>
  <si>
    <t>Test info from target:  -- parameter 4tcf@Run API testCmd_setTestPhaseFlag on core 0. Result: Passed@tcf
Test info from target:  -- parameter 4tcf@Run API testCmd_setTestPhaseFlag on core 1. Result: Passed@tcf
Test info from target: tcf@Run API testCmd_resetTestMngr on core 0. Result: Passed@tcf
Test info from target: tcf@Run API testCmd_resetTestMngr on core 1. Result: Passed@tcf
-- Trigger testing and waiting ...
-- parameter 700, 256
[Performance test suite tc03] test.
================================================================================
Performance test result info:
Test info from target:  -- parameter 700, 256
[Performance test suite tc03] test.
[Local core burst performance testing result] -time start:-890877974, stop: -819475290 -buffer count:179200, throughput in buffer per second:2509.709473.
tcf@Run API ipcsTc_perfTsBurstHalfduplexL2R on core 0. Result: Passed@tcf
================================================================================
Test info from target:  -- parameter 3List the instance 892355116 ring buffer info:
-- Push ring buffer: W: 249, R: 135.
-- Pop  ring buffer: W: 134, R: 250.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t>
  </si>
  <si>
    <t>IPCS_PERF_TC_004</t>
  </si>
  <si>
    <t>1. 测试控制器发送测试调度命令，切换target环境到IPCS批量发送性能测试状态；
2. 测试控制器发送测试buffer次数到REMOTE／LOCAL节点；
3. 测试控制器发送BurstHalfDuplexThroughput()测试命令。target端自动执行批量buffer发送，并等待来自REMOTE端的release通知，然后在当前测试函数中执行吞吐量计算，并以字符串形式返回到测试控制器端(REMOTE 和 LOCAL采用全局时钟进行时间同步)；</t>
  </si>
  <si>
    <t>20251205_12_41_38</t>
  </si>
  <si>
    <t>IPCS_PERF_TC_005</t>
  </si>
  <si>
    <t>性能测试</t>
  </si>
  <si>
    <t>1. 测试控制器发送测试调度命令，切换target环境到IPCS性能测试状态；
2. 测试控制器发送测试期望的payload size到LOCAL端，LOCAL端自动执行60S发送流程；
3. remote端接收message，并执行memcpy操作；
4.测试结束，local端返回发送次数/开始时间/结束时间/等待buffer周期等信息；</t>
  </si>
  <si>
    <t>20251205_12_30_09</t>
  </si>
  <si>
    <t>Test info from target:  -- parameter 5tcf@Run API testCmd_setTestPhaseFlag on core 0. Result: Passed@tcf
Test info from target:  -- parameter 5tcf@Run API testCmd_setTestPhaseFlag on core 1. Result: Passed@tcf
Test info from target: tcf@Run API testCmd_resetTestMngr on core 0. Result: Passed@tcf
Test info from target: tcf@Run API testCmd_resetTestMngr on core 1. Result: Passed@tcf
-- Trigger testing and waiting 60 seconds ...
================================================================================
Performance test result info:
Test info from target:  -- parameter 16
[Performance test suite tc00] test.
[Local core performance testing result[Maximum delay: 0] ] -time start:-1369027959, stop: -1309027711 -buffer count:162538, throughput in buffer per second:2708.966553.
tcf@Run API ipcsTc_perfTsHalfduplexWihtBufCopy on core 0. Result: Passed@tcf
================================================================================
Test info from target:  -- parameter 3List the instance 892355116 ring buffer info:
-- Push ring buffer: W: 249, R:  64.
-- Pop  ring buffer: W:  63, R: 250.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t>
  </si>
  <si>
    <t>IPCS_PERF_TC_006</t>
  </si>
  <si>
    <t>1. 测试控制器发送测试调度命令，切换target环境到IPCS性能测试状态；
2. 测试控制器发送ipcsRoundTripLatency()测试命令，当前测试命令所在线程会同步发送一包消息并等待来自remote对应通道的response信息，然后计算延迟信息，时间信息来自全局硬件定时器；
3.根据测试次数，求取多次测试的往返时延的平均值。</t>
  </si>
  <si>
    <t>20251205_12_44_26</t>
  </si>
  <si>
    <t>Test info from target:  -- parameter 6tcf@Run API testCmd_setTestPhaseFlag on core 0. Result: Passed@tcf
Test info from target:  -- parameter 6tcf@Run API testCmd_setTestPhaseFlag on core 1. Result: Passed@tcf
Test info from target: tcf@Run API testCmd_resetTestMngr on core 0. Result: Passed@tcf
Test info from target: tcf@Run API testCmd_resetTestMngr on core 1. Result: Passed@tcf
-- Trigger testing, repeat 20000 ...
-- parameter 20000
[Performance test suite tc00] test.
================================================================================
Performance test result info:
Test info from target:  -- parameter 20000
[Performance test suite tc00] test.
Total latency is 27821114, test times is 20000, average latency is 1391.055664tcf@Run API ipcsTc_perfTsRoundTripLatency on core 0. Result: Passed@tcf
================================================================================
Test info from target:  -- parameter 3List the instance 892355116 ring buffer info:
-- Push ring buffer: W:  31, R: 103.
-- Pop  ring buffer: W: 102, R:  32.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Test info from target: [TEST RESULT] -&gt;
[core id: 4][trace id: 0] passed.
tcf@Run API testCmd_getTestResult on core 0. Result: Passed@tcf</t>
  </si>
  <si>
    <t>IPCS_TS_0_TC_000</t>
  </si>
  <si>
    <t xml:space="preserve"> IPCS_001,  IPCS_003,  IPCS_004,  IPCS_006,  IPCS_007,  IPCS_013,  IPCS_016,  IPCS_019,  IPCS_033</t>
  </si>
  <si>
    <t>1. RDB02平台正常启动；
 2.IPCS配置初始化完成，回调函数定义实现，预定义消息字符串；
3.通道配置：managed 3通道，每个通道buffer_length 分别为16Bytes,256Bytes,4096Bytes.</t>
  </si>
  <si>
    <t xml:space="preserve">LOCAL：
1. 运行自动测试脚本，依次发送测试管理复位、切换测试状态为TC_BURST_00 (0)，tc_burst_00 触发自动测试；
2.延迟1S,发送从测试管理模块读取测试结果的指令，读取测试结果；测试管理模块会校验ipcs buffer获取、ipcs 发送、各通道数据完整性、各通道数据包数量；
REMOTE:
1. 初始化：运行自动测试脚本，依次发送测试管理复位、切换测试状态为TC_BURST_00 (0)；
2.延迟1S,发送从测试管理模块读取测试结果的指令，读取测试结果；测试管理模块会校验ipcs buffer获取、ipcs 发送、各通道数据完整性、各通道数据包数量；
</t>
  </si>
  <si>
    <t>LOCAL、REMOTE所有测试点测试正常。</t>
  </si>
  <si>
    <t>20251205_11_40_22</t>
  </si>
  <si>
    <t>*
Test info from target:  -- parameter 0tcf@Run API testCmd_setTestPhaseFlag on core 0. Result: Passed@tcf
Test info from target:  -- parameter 0tcf@Run API testCmd_setTestPhaseFlag on core 1. Result: Passed@tcf
Test info from target:  -- parameter 0tcf@Run API testCmd_setNextTestType on core 0. Result: Passed@tcf
Test info from target:  -- parameter 0tcf@Run API testCmd_setNextTestType on core 1. Result: Passed@tcf
Test info from target: [SYS-tc00-burst-transmission] test.
tcf@Run API ipcsTc_sysBurstScen00 on core 0. Result: Passed@tcf
Waiting 3 seconds ...
Test info from target: [TEST RESULT] -&gt;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tcf@Run API testCmd_getTestResult on core 0. Result: Passed@tcf</t>
  </si>
  <si>
    <t>IPCS_TS_0_TC_001</t>
  </si>
  <si>
    <t xml:space="preserve">LOCAL：
1. 运行自动测试脚本，依次发送测试管理复位、切换测试状态为TC_BURST_01 (1)，tc_burst_01 触发自动测试；
2.延迟1S,发送从测试管理模块读取测试结果的指令，读取测试结果；测试管理模块会校验ipcs buffer获取、ipcs 发送、各通道数据完整性、各通道数据包数量；
REMOTE:
1. 初始化：运行自动测试脚本，依次发送测试管理复位、切换测试状态为TC_BURST_01 (1)；
2.延迟1S,发送从测试管理模块读取测试结果的指令，读取测试结果；测试管理模块会校验ipcs buffer获取、ipcs 发送、各通道数据完整性、各通道数据包数量；
</t>
  </si>
  <si>
    <t>20251205_11_41_01</t>
  </si>
  <si>
    <t>Test info from target:  -- parameter 0tcf@Run API testCmd_setTestPhaseFlag on core 0. Result: Passed@tcf
Test info from target:  -- parameter 0tcf@Run API testCmd_setTestPhaseFlag on core 1. Result: Passed@tcf
Test info from target:  -- parameter 1tcf@Run API testCmd_setNextTestType on core 0. Result: Passed@tcf
Test info from target:  -- parameter 1tcf@Run API testCmd_setNextTestType on core 1. Result: Passed@tcf
Test info from target: [SYS-tc00-burst-transmission] test.
tcf@Run API ipcsTc_sysBurstScen01 on core 0. Result: Passed@tcf
Waiting 3 seconds ...
Test info from target: [TEST RESULT] -&gt;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tcf@Run API testCmd_getTestResult on core 0. Result: Passed@tcf</t>
  </si>
  <si>
    <t>IPCS_TS_0_TC_002</t>
  </si>
  <si>
    <t xml:space="preserve">LOCAL：
1. 运行自动测试脚本，依次发送测试管理复位、切换测试状态为TC_BURST_02 (2)，tc_burst_02 触发自动测试；
2.延迟1S,发送从测试管理模块读取测试结果的指令，读取测试结果；测试管理模块会校验ipcs buffer获取、ipcs 发送、各通道数据完整性、各通道数据包数量；
REMOTE:
1. 初始化：运行自动测试脚本，依次发送测试管理复位、切换测试状态为TC_BURST_02 (2)；
2.延迟1S,发送从测试管理模块读取测试结果的指令，读取测试结果；测试管理模块会校验ipcs buffer获取、ipcs 发送、各通道数据完整性、各通道数据包数量；
</t>
  </si>
  <si>
    <t>20251205_11_41_41</t>
  </si>
  <si>
    <t>IPCS_TS_1_TC_000</t>
  </si>
  <si>
    <t xml:space="preserve"> IPCS_001,  IPCS_003,  IPCS_004,  IPCS_006,  IPCS_007,  IPCS_013,  IPCS_016,  IPCS_019,  IPCS_033,  IPCS_031</t>
  </si>
  <si>
    <t>1. RDB02平台正常启动；
 2.IPCS配置初始化完成，回调函数定义实现，预定义消息字符串；
3.通道配置：3通道，每个通道buffer_length 分别为256Bytes,256Bytes,256Bytes.</t>
  </si>
  <si>
    <t xml:space="preserve">LOCAL：
1.测试初始化：发送测试管理模块复位命令、发送测试任务状态到TCS_01_000状态、发送测试触发命令tc_ping-pong-00；
2.测试加班延迟2s，发送读取测试结果命令，读取测试结果；测试管理模块会返回失败的测试点信息；
REMOTE:
1.测试初始化：发送测试管理模块复位命令、发送测试任务状态到TCS_01_000状态；
2.测试加班延迟2s，发送读取测试结果命令，读取测试结果；测试管理模块会返回失败的测试点信息；
</t>
  </si>
  <si>
    <t>20251205_11_42_19</t>
  </si>
  <si>
    <t>Test info from target:  -- parameter 0tcf@Run API testCmd_setTestPhaseFlag on core 0. Result: Passed@tcf
Test info from target:  -- parameter 0tcf@Run API testCmd_setTestPhaseFlag on core 1. Result: Passed@tcf
Test info from target:  -- parameter 3tcf@Run API testCmd_setNextTestType on core 0. Result: Passed@tcf
Test info from target:  -- parameter 3tcf@Run API testCmd_setNextTestType on core 1. Result: Passed@tcf
Test info from target: [SYS-ts01-ping-pong] test.
tcf@Run API ipcsTc_sysPingPongScen00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[core id: 4][trace id: 45] [INSTANCE 3 -- CHANNEL 1 -- Current message number: 101 ]ping-pong test passed.
[core id: 4][trace id: 46] [INSTANCE 3 -- CHANNEL 1 -- Current message number: 101 ]ping-pong test passed.
[core id: 4][trace id: 47] [INSTANCE 3 -- CHANNEL 2 -- Current message number: 101 ]ping-pong test passed.
[core id: 4][trace id: 48] [INSTANCE 3 -- CHANNEL 2 -- Current message number: 101 ]ping-pong test passed.
[core id: 4][trace id: 49] [INSTANCE 3 -- CHANNEL 3 -- Current message number: 101 ]ping-pong test passed.
[core id: 4][trace id: 50] [INSTANCE 3 -- CHANNEL 3 -- Current message number: 101 ]ping-pong test passed.
tcf@Run API testCmd_getTestResult on core 0. Result: Passed@tcf</t>
  </si>
  <si>
    <t>IPCS_TS_1_TC_001</t>
  </si>
  <si>
    <t>1. RDB02平台正常启动；
 2.IPCS配置初始化完成，回调函数定义实现，预定义消息字符串；
3.通道配置：3通道，每个通道buffer_length 分别为16Bytes,256Bytes,4096Bytes.</t>
  </si>
  <si>
    <t xml:space="preserve">LOCAL：
1.测试初始化：发送测试管理模块复位命令、发送测试任务状态到TCS_01_001状态、发送测试触发命令tc_ping-pong-01；
2.测试加班延迟2s，发送读取测试结果命令，读取测试结果；测试管理模块会返回失败的测试点信息；
REMOTE:
1.测试初始化：发送测试管理模块复位命令、发送测试任务状态到TCS_01_001状态；
2.测试加班延迟2s，发送读取测试结果命令，读取测试结果；测试管理模块会返回失败的测试点信息；
</t>
  </si>
  <si>
    <t>20251205_11_42_58</t>
  </si>
  <si>
    <t>Test info from target:  -- parameter 0tcf@Run API testCmd_setTestPhaseFlag on core 0. Result: Passed@tcf
Test info from target:  -- parameter 0tcf@Run API testCmd_setTestPhaseFlag on core 1. Result: Passed@tcf
Test info from target:  -- parameter 4tcf@Run API testCmd_setNextTestType on core 0. Result: Passed@tcf
Test info from target:  -- parameter 4tcf@Run API testCmd_setNextTestType on core 1. Result: Passed@tcf
Test info from target: [SYS-ts01-ping-pong] test.
tcf@Run API ipcsTc_sysPingPongScen01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[core id: 5][trace id: 6] [INSTANCE 1 -- CHANNEL 1 -- Current message number: 6 ]ping-pong test passed.
[core id: 5][trace id: 7] [INSTANCE 1 -- CHANNEL 1 -- Current message number: 6 ]ping-pong test passed.
[core id: 5][trace id: 8] [INSTANCE 1 -- CHANNEL 2 -- Current message number: 6 ]ping-pong test passed.
[core id: 5][trace id: 9] [INSTANCE 1 -- CHANNEL 2 -- Current message number: 6 ]ping-pong test passed.
[core id: 5][trace id: 10] [INSTANCE 1 -- CHANNEL 3 -- Current message number: 6 ]ping-pong test passed.
[core id: 5][trace id: 11] [INSTANCE 1 -- CHANNEL 3 -- Current message number: 6 ]ping-pong test passed.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[core id: 4][trace id: 45] [INSTANCE 3 -- CHANNEL 1 -- Current message number: 101 ]ping-pong test passed.
[core id: 4][trace id: 46] [INSTANCE 3 -- CHANNEL 1 -- Current message number: 101 ]ping-pong test passed.
[core id: 4][trace id: 47] [INSTANCE 3 -- CHANNEL 2 -- Current message number: 101 ]ping-pong test passed.
[core id: 4][trace id: 48] [INSTANCE 3 -- CHANNEL 2 -- Current message number: 101 ]ping-pong test passed.
[core id: 4][trace id: 49] [INSTANCE 3 -- CHANNEL 3 -- Current message number: 101 ]ping-pong test passed.
[core id: 4][trace id: 50] [INSTANCE 3 -- CHANNEL 3 -- Current message number: 101 ]ping-pong test passed.
[core id: 4][trace id: 51] [INSTANCE 3 -- CHANNEL 1 -- Current message number: 5 ]ping-pong test passed.
[core id: 4][trace id: 52] [INSTANCE 3 -- CHANNEL 1 -- Current message number: 5 ]ping-pong test passed.
[core id: 4][trace id: 53] [INSTANCE 3 -- CHANNEL 2 -- Current message number: 5 ]ping-pong test passed.
[core id: 4][trace id: 54] [INSTANCE 3 -- CHANNEL 2 -- Current message number: 5 ]ping-pong test passed.
[core id: 4][trace id: 55] [INSTANCE 3 -- CHANNEL 3 -- Current message number: 5 ]ping-pong test passed.
[core id: 4][trace id: 56] [INSTANCE 3 -- CHANNEL 3 -- Current message number: 5 ]ping-pong test passed.
tcf@Run API testCmd_getTestResult on core 0. Result: Passed@tcf</t>
  </si>
  <si>
    <t>IPCS_TS_1_TC_002</t>
  </si>
  <si>
    <t xml:space="preserve">LOCAL：
1.测试初始化：发送测试管理模块复位命令、发送测试任务状态到TCS_01_002状态、发送测试触发命令tc_ping-pong-02；
2.测试加班延迟2s，发送读取测试结果命令，读取测试结果；测试管理模块会返回失败的测试点信息；
REMOTE:
1.测试初始化：发送测试管理模块复位命令、发送测试任务状态到TCS_01_002状态；
2.测试加班延迟2s，发送读取测试结果命令，读取测试结果；测试管理模块会返回失败的测试点信息；
</t>
  </si>
  <si>
    <t>20251205_11_43_37</t>
  </si>
  <si>
    <t>Test info from target:  -- parameter 0tcf@Run API testCmd_setTestPhaseFlag on core 0. Result: Passed@tcf
Test info from target:  -- parameter 0tcf@Run API testCmd_setTestPhaseFlag on core 1. Result: Passed@tcf
Test info from target:  -- parameter 5tcf@Run API testCmd_setNextTestType on core 0. Result: Passed@tcf
Test info from target:  -- parameter 5tcf@Run API testCmd_setNextTestType on core 1. Result: Passed@tcf
Test info from target: [SYS-ts01-ping-pong] test.
tcf@Run API ipcsTc_sysPingPongScen02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[core id: 5][trace id: 6] [INSTANCE 1 -- CHANNEL 1 -- Current message number: 6 ]ping-pong test passed.
[core id: 5][trace id: 7] [INSTANCE 1 -- CHANNEL 1 -- Current message number: 6 ]ping-pong test passed.
[core id: 5][trace id: 8] [INSTANCE 1 -- CHANNEL 2 -- Current message number: 6 ]ping-pong test passed.
[core id: 5][trace id: 9] [INSTANCE 1 -- CHANNEL 2 -- Current message number: 6 ]ping-pong test passed.
[core id: 5][trace id: 10] [INSTANCE 1 -- CHANNEL 3 -- Current message number: 6 ]ping-pong test passed.
[core id: 5][trace id: 11] [INSTANCE 1 -- CHANNEL 3 -- Current message number: 6 ]ping-pong test passed.
[core id: 5][trace id: 12] [INSTANCE 1 -- CHANNEL 2 -- Current message number: 6 ]ping-pong test passed.
[core id: 5][trace id: 13] [INSTANCE 1 -- CHANNEL 2 -- Current message number: 6 ]ping-pong test passed.
[core id: 5][trace id: 14] [INSTANCE 1 -- CHANNEL 1 -- Current message number: 10 ]ping-pong test passed.
[core id: 5][trace id: 15] [INSTANCE 1 -- CHANNEL 1 -- Current message number: 10 ]ping-pong test passed.
[core id: 5][trace id: 16] [INSTANCE 1 -- CHANNEL 3 -- Current message number: 100 ]ping-pong test passed.
[core id: 5][trace id: 17] [INSTANCE 1 -- CHANNEL 3 -- Current message number: 100 ]ping-pong test passed.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[core id: 4][trace id: 45] [INSTANCE 3 -- CHANNEL 1 -- Current message number: 101 ]ping-pong test passed.
[core id: 4][trace id: 46] [INSTANCE 3 -- CHANNEL 1 -- Current message number: 101 ]ping-pong test passed.
[core id: 4][trace id: 47] [INSTANCE 3 -- CHANNEL 2 -- Current message number: 101 ]ping-pong test passed.
[core id: 4][trace id: 48] [INSTANCE 3 -- CHANNEL 2 -- Current message number: 101 ]ping-pong test passed.
[core id: 4][trace id: 49] [INSTANCE 3 -- CHANNEL 3 -- Current message number: 101 ]ping-pong test passed.
[core id: 4][trace id: 50] [INSTANCE 3 -- CHANNEL 3 -- Current message number: 101 ]ping-pong test passed.
[core id: 4][trace id: 51] [INSTANCE 3 -- CHANNEL 1 -- Current message number: 5 ]ping-pong test passed.
[core id: 4][trace id: 52] [INSTANCE 3 -- CHANNEL 1 -- Current message number: 5 ]ping-pong test passed.
[core id: 4][trace id: 53] [INSTANCE 3 -- CHANNEL 2 -- Current message number: 5 ]ping-pong test passed.
[core id: 4][trace id: 54] [INSTANCE 3 -- CHANNEL 2 -- Current message number: 5 ]ping-pong test passed.
[core id: 4][trace id: 55] [INSTANCE 3 -- CHANNEL 3 -- Current message number: 5 ]ping-pong test passed.
[core id: 4][trace id: 56] [INSTANCE 3 -- CHANNEL 3 -- Current message number: 5 ]ping-pong test passed.
[core id: 4][trace id: 57] [INSTANCE 3 -- CHANNEL 2 -- Current message number: 5 ]ping-pong test passed.
[core id: 4][trace id: 58] [INSTANCE 3 -- CHANNEL 2 -- Current message number: 5 ]ping-pong test passed.
[core id: 4][trace id: 59] [INSTANCE 3 -- CHANNEL 1 -- Current message number: 11 ]ping-pong test passed.
[core id: 4][trace id: 60] [INSTANCE 3 -- CHANNEL 1 -- Current message number: 11 ]ping-pong test passed.
[core id: 4][trace id: 61] [INSTANCE 3 -- CHANNEL 3 -- Current message number: 101 ]ping-pong test passed.
[core id: 4][trace id: 62] [INSTANCE 3 -- CHANNEL 3 -- Current message number: 101 ]ping-pong test passed.
tcf@Run API testCmd_getTestResult on core 0. Result: Passed@tcf
*
*</t>
  </si>
  <si>
    <t>IPCS_TS_2_TC_000</t>
  </si>
  <si>
    <t>1. RDB02平台正常启动；
2.IPCS配置初始化完成，回调函数定义实现，预定义消息字符串；</t>
  </si>
  <si>
    <t xml:space="preserve">
1.reinitialize前步骤：通过自动测试框架发送ping-pong 测试命令；
2.执行reinitialize：
    通过自动测试框架调用——tcfTcs_ipcsReinitLocal()用例控制指令（依次调用并校验ipcsTc_sysTs002FreeOtherCoreIpcs(0x00)测试序列、ipcsTc_sysTs002FreeIpcs(0x00)测试序列）；
    通过自动测试框架调用——_tcfTcs_ipcsReinitLocal()用例控制指令、_tcfTcs_ipcsReinitRemote()用例控制指令;
3.校验reinitialize:
    通过自动测试框架调用———TCF_MODULE_IPCS_SYS_TS01().tcfTcs_ipcsMngChnPingPongScenario00()命令执行测试；
</t>
  </si>
  <si>
    <t>自动测试返回结果为pass；</t>
  </si>
  <si>
    <t>20251205_11_44_55</t>
  </si>
  <si>
    <t>Test info from target:  -- parameter 0x00tcf@Run API ipcsTc_sysTs002FreeOtherCoreIpcs on core 0. Result: Passed@tcf
Test info from target:  -- parameter 0x00tcf@Run API ipcsTc_sysTs002FreeIpcs on core 0. Result: Passed@tcf
Test info from target: tcf@Run API ipcsTc_sysTs002ReinitIpcs on core 0. Result: Passed@tcf
Test info from target: tcf@Run API ipcsTc_sysTs002ReinitOtherCoreIpcs on core 0. Result: Passed@tcf
Test info from target: tcf@Run API ipcsTc_sysTs002ReinitSyncState on core 0. Result: Passed@tcf
Test info from target: tcf@Run API testCmd_resetTestMngr on core 0. Result: Passed@tcf
Test info from target: tcf@Run API testCmd_resetTestMngr on core 1. Result: Passed@tcf
Get configuration from configuration file
Test info from target:  -- parameter 0tcf@Run API testCmd_setTestPhaseFlag on core 0. Result: Passed@tcf
Test info from target:  -- parameter 0tcf@Run API testCmd_setTestPhaseFlag on core 1. Result: Passed@tcf
Test info from target:  -- parameter 3tcf@Run API testCmd_setNextTestType on core 0. Result: Passed@tcf
Test info from target:  -- parameter 3tcf@Run API testCmd_setNextTestType on core 1. Result: Passed@tcf
Test info from target: [SYS-ts01-ping-pong] test.
tcf@Run API ipcsTc_sysPingPongScen00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tcf@Run API testCmd_getTestResult on core 1. Result: Passed@tcf
Test info from target: [TEST RESULT] -&gt;
[core id: 4][trace id: 0] [INSTANCE 3 -- CHANNEL 1 -- Current message number: 101 ]ping-pong test passed.
[core id: 4][trace id: 1] [INSTANCE 3 -- CHANNEL 1 -- Current message number: 101 ]ping-pong test passed.
[core id: 4][trace id: 2] [INSTANCE 3 -- CHANNEL 2 -- Current message number: 101 ]ping-pong test passed.
[core id: 4][trace id: 3] [INSTANCE 3 -- CHANNEL 2 -- Current message number: 101 ]ping-pong test passed.
[core id: 4][trace id: 4] [INSTANCE 3 -- CHANNEL 3 -- Current message number: 101 ]ping-pong test passed.
[core id: 4][trace id: 5] [INSTANCE 3 -- CHANNEL 3 -- Current message number: 101 ]ping-pong test passed.
tcf@Run API testCmd_getTestResult on core 0. Result: Passed@tcf</t>
  </si>
  <si>
    <t>IPCS_TS_2_TC_001</t>
  </si>
  <si>
    <t xml:space="preserve">
1.reinitialize前步骤：通过自动测试框架发送ping-pong 测试命令；
2.执行reinitialize：
    通过自动测试框架调用——tcfTcs_ipcsReinitLocal()用例控制指令（依次调用并校验ipcsTc_sysTs002FreeOtherCoreIpcs(0xFF)测试序列、ipcsTc_sysTs002FreeIpcs(0xFF)测试序列）；
    通过自动测试框架调用——_tcfTcs_ipcsReinitLocal()用例控制指令、_tcfTcs_ipcsReinitRemote()用例控制指令;
3.校验reinitialize:
    通过自动测试框架调用———TCF_MODULE_IPCS_SYS_TS01().tcfTcs_ipcsMngChnPingPongScenario00()命令执行测试；
</t>
  </si>
  <si>
    <t>20251205_11_46_12</t>
  </si>
  <si>
    <t>Test info from target:  -- parameter 0xFFtcf@Run API ipcsTc_sysTs002FreeOtherCoreIpcs on core 0. Result: Passed@tcf
Test info from target:  -- parameter 0xFFtcf@Run API ipcsTc_sysTs002FreeIpcs on core 0. Result: Passed@tcf
Test info from target: tcf@Run API ipcsTc_sysTs002ReinitIpcs on core 0. Result: Passed@tcf
Test info from target: tcf@Run API ipcsTc_sysTs002ReinitOtherCoreIpcs on core 0. Result: Passed@tcf
Test info from target: tcf@Run API ipcsTc_sysTs002ReinitSyncState on core 0. Result: Passed@tcf
Test info from target: tcf@Run API testCmd_resetTestMngr on core 0. Result: Passed@tcf
Test info from target: tcf@Run API testCmd_resetTestMngr on core 1. Result: Passed@tcf
Get configuration from configuration file
Test info from target:  -- parameter 0tcf@Run API testCmd_setTestPhaseFlag on core 0. Result: Passed@tcf
Test info from target:  -- parameter 0tcf@Run API testCmd_setTestPhaseFlag on core 1. Result: Passed@tcf
Test info from target:  -- parameter 3tcf@Run API testCmd_setNextTestType on core 0. Result: Passed@tcf
Test info from target:  -- parameter 3tcf@Run API testCmd_setNextTestType on core 1. Result: Passed@tcf
Test info from target: [SYS-ts01-ping-pong] test.
tcf@Run API ipcsTc_sysPingPongScen00 on core 0. Result: Passed@tcf
Test info from target: [TEST RESULT] -&gt;
[core id: 5][trace id: 0] [INSTANCE 1 -- CHANNEL 1 -- Current message number: 100 ]ping-pong test passed.
[core id: 5][trace id: 1] [INSTANCE 1 -- CHANNEL 1 -- Current message number: 100 ]ping-pong test passed.
[core id: 5][trace id: 2] [INSTANCE 1 -- CHANNEL 2 -- Current message number: 100 ]ping-pong test passed.
[core id: 5][trace id: 3] [INSTANCE 1 -- CHANNEL 2 -- Current message number: 100 ]ping-pong test passed.
[core id: 5][trace id: 4] [INSTANCE 1 -- CHANNEL 3 -- Current message number: 100 ]ping-pong test passed.
[core id: 5][trace id: 5] [INSTANCE 1 -- CHANNEL 3 -- Current message number: 100 ]ping-pong test passed.
tcf@Run API testCmd_getTestResult on core 1. Result: Passed@tcf
Test info from target: [TEST RESULT] -&gt;
[core id: 4][trace id: 0] [INSTANCE 3 -- CHANNEL 1 -- Current message number: 101 ]ping-pong test passed.
[core id: 4][trace id: 1] [INSTANCE 3 -- CHANNEL 1 -- Current message number: 101 ]ping-pong test passed.
[core id: 4][trace id: 2] [INSTANCE 3 -- CHANNEL 2 -- Current message number: 101 ]ping-pong test passed.
[core id: 4][trace id: 3] [INSTANCE 3 -- CHANNEL 2 -- Current message number: 101 ]ping-pong test passed.
[core id: 4][trace id: 4] [INSTANCE 3 -- CHANNEL 3 -- Current message number: 101 ]ping-pong test passed.
[core id: 4][trace id: 5] [INSTANCE 3 -- CHANNEL 3 -- Current message number: 101 ]ping-pong test passed.
tcf@Run API testCmd_getTestResult on core 0. Result: Passed@tcf</t>
  </si>
  <si>
    <t>IPCS_TS_2_TC_002</t>
  </si>
  <si>
    <t xml:space="preserve">
1.reinitialize前步骤：通过自动测试框架发送ipcsTc_sysTs002ReinitScenario2Steps(0x00)用例控制指令，记录buffer和通道信息；
2.执行reinitialize：
    通过自动测试框架调用——tcfTcs_ipcsReinitLocal()用例控制指令（依次调用并校验ipcsTc_sysTs002FreeOtherCoreIpcs(0xFF)测试序列、ipcsTc_sysTs002FreeIpcs(0xFF)测试序列）；
    通过自动测试框架调用——_tcfTcs_ipcsReinitLocal()用例控制指令、_tcfTcs_ipcsReinitRemote()用例控制指令;
3.校验reinitialize:
    通过自动测试框架发送ipcsTc_sysTs002ReinitScenario2Steps(0x01)用例控制指令，发送步骤1命令中获取的buffer信息，触发ping-pong测试；
    通过自动测试框架发送tcf@core0.IPCS:testCmd_getTestResult()用例控制指令，获取并校验执行结果；
    通过自动测试框架发送tcf@core1.IPCS:testCmd_getTestResult()用例控制指令，获取并校验执行结果；
</t>
  </si>
  <si>
    <t>20251205_11_47_33</t>
  </si>
  <si>
    <t>Test info from target:  -- parameter 0tcf@Run API testCmd_setTestPhaseFlag on core 0. Result: Passed@tcf
Test info from target:  -- parameter 0tcf@Run API testCmd_setTestPhaseFlag on core 1. Result: Passed@tcf
Test info from target:  -- parameter 0x00tcf@Run API ipcsTc_sysTs002ReinitScenario2Steps on core 0. Result: Passed@tcf
Test info from target:  -- parameter 0xFFtcf@Run API ipcsTc_sysTs002FreeOtherCoreIpcs on core 0. Result: Passed@tcf
Test info from target:  -- parameter 0xFFtcf@Run API ipcsTc_sysTs002FreeIpcs on core 0. Result: Passed@tcf
Test info from target: tcf@Run API ipcsTc_sysTs002ReinitIpcs on core 0. Result: Passed@tcf
Test info from target: tcf@Run API ipcsTc_sysTs002ReinitOtherCoreIpcs on core 0. Result: Passed@tcf
Test info from target: tcf@Run API ipcsTc_sysTs002ReinitSyncState on core 0. Result: Passed@tcf
Test info from target: tcf@Run API testCmd_resetTestMngr on core 0. Result: Passed@tcf
Test info from target: tcf@Run API testCmd_resetTestMngr on core 1. Result: Passed@tcf
Test info from target:  -- parameter 3tcf@Run API testCmd_setNextTestType on core 0. Result: Passed@tcf
Test info from target:  -- parameter 3tcf@Run API testCmd_setNextTestType on core 1. Result: Passed@tcf
Test info from target:  -- parameter 0x01tcf@Run API ipcsTc_sysTs002ReinitScenario2Steps on core 0. Result: Passed@tcf
Core 5 release failed, error code -2, channel 1, buffer add 0x35014220.
Core 5 release failed, error code -2, channel 2, buffer add 0x3501bd70.
Core 5 release failed, error code -2, channel 3, buffer add 0x350238c0.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tcf@Run API testCmd_getTestResult on core 0. Result: Passed@tcf
*
*</t>
  </si>
  <si>
    <t>IPCS_TS_3_TC_000</t>
  </si>
  <si>
    <t xml:space="preserve"> IPCS_001,  IPCS_003,  IPCS_004,  IPCS_006,  IPCS_007,  IPCS_013,  IPCS_016,  IPCS_019,  IPCS_033,  IPCS_031,  IPCS_017,  IPCS_028</t>
  </si>
  <si>
    <t xml:space="preserve">LOCAL：
1. 运行自动测试脚本，依次发送测试管理复位、测试任务调度切换到多任务测试、切换测试状态为TC_BURST_00 (0)，tc_burst_00 触发自动测试；
2.延迟1S,发送从测试管理模块读取测试结果的指令，读取测试结果；测试管理模块会校验ipcs buffer获取、ipcs 发送、各通道数据完整性、各通道数据包数量；
REMOTE:
1. 初始化：运行自动测试脚本，依次发送测试管理复位、切换测试状态为TC_BURST_00 (0)；
2.延迟1S,发送从测试管理模块读取测试结果的指令，读取测试结果；测试管理模块会校验ipcs buffer获取、ipcs 发送、各通道数据完整性、各通道数据包数量；
</t>
  </si>
  <si>
    <t>20251205_11_48_05</t>
  </si>
  <si>
    <t>Test info from target:  -- parameter 1tcf@Run API testCmd_setTestPhaseFlag on core 0. Result: Passed@tcf
Test info from target: [SYS-tc00-burst-transmission] test.
tcf@Run API ipcsTc_sysBurstScen00 on core 0. Result: Passed@tcf
waiting 10 seconds ...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[core id: 4][trace id: 6] [INSTANCE 3 -- CHANNEL 1 -- SIZE: 16 ] message header is: ######IP
[core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tcf@Run API testCmd_getTestResult on core 0. Result: Passed@tcf</t>
  </si>
  <si>
    <t>IPCS_TS_3_TC_001</t>
  </si>
  <si>
    <t xml:space="preserve">LOCAL：
1. 运行自动测试脚本，依次发送测试管理复位、测试任务调度切换到多任务测试、切换测试状态为TC_BURST_01 (1)，tc_burst_01 触发自动测试；
2.延迟1S,发送从测试管理模块读取测试结果的指令，读取测试结果；测试管理模块会校验ipcs buffer获取、ipcs 发送、各通道数据完整性、各通道数据包数量；
REMOTE:
1. 初始化：运行自动测试脚本，依次发送测试管理复位、切换测试状态为TC_BURST_01 (1)；
2.延迟1S,发送从测试管理模块读取测试结果的指令，读取测试结果；测试管理模块会校验ipcs buffer获取、ipcs 发送、各通道数据完整性、各通道数据包数量；
</t>
  </si>
  <si>
    <t>20251205_11_48_36</t>
  </si>
  <si>
    <t>Test info from target:  -- parameter 1tcf@Run API testCmd_setTestPhaseFlag on core 0. Result: Passed@tcf
Test info from target: [SYS-tc00-burst-transmission] test.
tcf@Run API ipcsTc_sysBurstScen01 on core 0. Result: Passed@tcf
waiting 10 seconds ...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[core id: 5][trace id: 18] [INSTANCE 1 -- CHANNEL 1 -- Current message number: 0 ]ping-pong test passed.
[core id: 5][trace id: 19] [INSTANCE 1 -- CHANNEL 2 -- Current message number: 0 ]ping-pong test passed.
[core id: 5][trace id: 20] [INSTANCE 1 -- CHANNEL 1 -- Current message number: 0 ]ping-pong test passed.
[core id: 5][trace id: 21] [INSTANCE 1 -- CHANNEL 3 -- Current message number: 0 ]ping-pong test passed.
[core id: 5][trace id: 22] [INSTANCE 1 -- CHANNEL 2 -- Current message number: 0 ]ping-pong test passed.
[core id: 5][trace id: 23] [INSTANCE 1 -- CHANNEL 3 -- Current message number: 0 ]ping-pong test passed.
[core id: 5][trace id: 24] [INSTANCE 1 -- CHANNEL 1 -- Current message number: 0 ]ping-pong test passed.
[core id: 5][trace id: 25] [INSTANCE 1 -- CHANNEL 2 -- Current message number: 0 ]ping-pong test passed.
[core id: 5][trace id: 26] [INSTANCE 1 -- CHANNEL 1 -- Current message number: 0 ]ping-pong test passed.
[core id: 5][trace id: 27] [INSTANCE 1 -- CHANNEL 2 -- Current message number: 0 ]ping-pong test passed.
[core id: 5][trace id: 28] [INSTANCE 1 -- CHANNEL 3 -- Current message number: 0 ]ping-pong test passed.
[core id: 5][trace id: 29] [INSTANCE 1 -- CHANNEL 1 -- Current message number: 0 ]ping-pong test passed.
[core id: 5][trace id: 30] [INSTANCE 1 -- CHANNEL 3 -- Current message number: 0 ]ping-pong test passed.
[core id: 5][trace id: 31] [INSTANCE 1 -- CHANNEL 2 -- Current message number: 0 ]ping-pong test passed.
[core id: 5][trace id: 32] [INSTANCE 1 -- CHANNEL 3 -- Current message number: 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[core id: 4][trace id: 6] [INSTANCE 3 -- CHANNEL 1 -- SIZE: 16 ] message header is: ######IP
[core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[core id: 4][trace id: 18] [INSTANCE 3 -- CHANNEL 1 -- SIZE: 16 ] message header is: ######IP
[core id: 4][trace id: 19] [INSTANCE 3 -- CHANNEL 1 -- SIZE: 16 ] message header is: ######IP
[core id: 4][trace id: 20] [INSTANCE 3 -- CHANNEL 1 -- SIZE: 16 ] message header is: ######IP
[core id: 4][trace id: 21] [INSTANCE 3 -- CHANNEL 1 -- SIZE: 16 ] message header is: ######IP
[core id: 4][trace id: 22] [INSTANCE 3 -- CHANNEL 1 -- SIZE: 16 ] message header is: ######IP[core id: 4][trace id: 23] [INSTANCE 3 -- CHANNEL 2 -- SIZE: 16 ] message header is: ######IP
[core id: 4][trace id: 24] [INSTANCE 3 -- CHANNEL 2 -- SIZE: 16 ] message header is: ######IP
[core id: 4][trace id: 25] [INSTANCE 3 -- CHANNEL 2 -- SIZE: 16 ] message header is: ######IP
[core id: 4][trace id: 26] [INSTANCE 3 -- CHANNEL 2 -- SIZE: 16 ] message header is: ######IP
[core id: 4][trace id: 27] [INSTANCE 3 -- CHANNEL 2 -- SIZE: 16 ] message header is: ######IP[core id: 4][trace id: 28] [INSTANCE 3 -- CHANNEL 3 -- SIZE: 16 ] message header is: ######IP
[core id: 4][trace id: 29] [INSTANCE 3 -- CHANNEL 3 -- SIZE: 16 ] message header is: ######IP
[core id: 4][trace id: 30] [INSTANCE 3 -- CHANNEL 3 -- SIZE: 16 ] message header is: ######IP
[core id: 4][trace id: 31] [INSTANCE 3 -- CHANNEL 3 -- SIZE: 16 ] message header is: ######IP
[core id: 4][trace id: 32] [INSTANCE 3 -- CHANNEL 3 -- SIZE: 16 ] message header is: ######IPtcf@Run API testCmd_getTestResult on core 0. Result: Passed@tcf</t>
  </si>
  <si>
    <t>IPCS_TS_3_TC_002</t>
  </si>
  <si>
    <t xml:space="preserve">LOCAL：
1. 运行自动测试脚本，依次发送测试管理复位、测试任务调度切换到多任务测试、切换测试状态为TC_BURST_02 (2)，tc_burst_02 触发自动测试；
2.延迟1S,发送从测试管理模块读取测试结果的指令，读取测试结果；测试管理模块会校验ipcs buffer获取、ipcs 发送、各通道数据完整性、各通道数据包数量；
REMOTE:
1. 初始化：运行自动测试脚本，依次发送测试管理复位、切换测试状态为TC_BURST_02 (2)；
2.延迟1S,发送从测试管理模块读取测试结果的指令，读取测试结果；测试管理模块会校验ipcs buffer获取、ipcs 发送、各通道数据完整性、各通道数据包数量；
</t>
  </si>
  <si>
    <t>20251205_11_49_08</t>
  </si>
  <si>
    <t>Test info from target:  -- parameter 1tcf@Run API testCmd_setTestPhaseFlag on core 0. Result: Passed@tcf
Test info from target: [SYS-ts00-burst-transmission] test.
tcf@Run API ipcsTc_sysBurstScen02 on core 0. Result: Passed@tcf
waiting 10 seconds ...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[core id: 5][trace id: 18] [INSTANCE 1 -- CHANNEL 1 -- Current message number: 0 ]ping-pong test passed.
[core id: 5][trace id: 19] [INSTANCE 1 -- CHANNEL 2 -- Current message number: 0 ]ping-pong test passed.
[core id: 5][trace id: 20] [INSTANCE 1 -- CHANNEL 1 -- Current message number: 0 ]ping-pong test passed.
[core id: 5][trace id: 21] [INSTANCE 1 -- CHANNEL 3 -- Current message number: 0 ]ping-pong test passed.
[core id: 5][trace id: 22] [INSTANCE 1 -- CHANNEL 2 -- Current message number: 0 ]ping-pong test passed.
[core id: 5][trace id: 23] [INSTANCE 1 -- CHANNEL 3 -- Current message number: 0 ]ping-pong test passed.
[core id: 5][trace id: 24] [INSTANCE 1 -- CHANNEL 1 -- Current message number: 0 ]ping-pong test passed.
[core id: 5][trace id: 25] [INSTANCE 1 -- CHANNEL 2 -- Current message number: 0 ]ping-pong test passed.
[core id: 5][trace id: 26] [INSTANCE 1 -- CHANNEL 1 -- Current message number: 0 ]ping-pong test passed.
[core id: 5][trace id: 27] [INSTANCE 1 -- CHANNEL 2 -- Current message number: 0 ]ping-pong test passed.
[core id: 5][trace id: 28] [INSTANCE 1 -- CHANNEL 3 -- Current message number: 0 ]ping-pong test passed.
[core id: 5][trace id: 29] [INSTANCE 1 -- CHANNEL 1 -- Current message number: 0 ]ping-pong test passed.
[core id: 5][trace id: 30] [INSTANCE 1 -- CHANNEL 3 -- Current message number: 0 ]ping-pong test passed.
[core id: 5][trace id: 31] [INSTANCE 1 -- CHANNEL 2 -- Current message number: 0 ]ping-pong test passed.
[core id: 5][trace id: 32] [INSTANCE 1 -- CHANNEL 3 -- Current message number: 0 ]ping-pong test passed.
[core id: 5][trace id: 33] [INSTANCE 1 -- CHANNEL 1 -- Current message number: 0 ]ping-pong test passed.
[core id: 5][trace id: 34] [INSTANCE 1 -- CHANNEL 2 -- Current message number: 0 ]ping-pong test passed.
[core id: 5][trace id: 35] [INSTANCE 1 -- CHANNEL 1 -- Current message number: 0 ]ping-pong test passed.
[core id: 5][trace id: 36] [INSTANCE 1 -- CHANNEL 3 -- Current message number: 0 ]ping-pong test passed.
[core id: 5][trace id: 37] [INSTANCE 1 -- CHANNEL 2 -- Current message number: 0 ]ping-pong test passed.
[core id: 5][trace id: 38] [INSTANCE 1 -- CHANNEL 3 -- Current message number: 0 ]ping-pong test passed.
[core id: 5][trace id: 39] [INSTANCE 1 -- CHANNEL 1 -- Current message number: 0 ]ping-pong test passed.
[core id: 5][trace id: 40] [INSTANCE 1 -- CHANNEL 2 -- Current message number: 0 ]ping-pong test passed.
[core id: 5][trace id: 41] [INSTANCE 1 -- CHANNEL 1 -- Current message number: 0 ]ping-pong test passed.
[core id: 5][trace id: 42] [INSTANCE 1 -- CHANNEL 3 -- Current message number: 0 ]ping-pong test passed.
[core id: 5][trace id: 43] [INSTANCE 1 -- CHANNEL 2 -- Current message number: 0 ]ping-pong test passed.
[core id: 5][trace id: 44] [INSTANCE 1 -- CHANNEL 3 -- Current message number: 0 ]ping-pong test passed.
[core id: 5][trace id: 45] [INSTANCE 1 -- CHANNEL 1 -- Current message number: 0 ]ping-pong test passed.
[core id: 5][trace id: 46] [INSTANCE 1 -- CHANNEL 2 -- Current message number: 0 ]ping-pong test passed.
[core id: 5][trace id: 47] [INSTANCE 1 -- CHANNEL 3 -- Current message number: 0 ]ping-pong test passed.
tcf@Run API testCmd_getTestResult on core 1.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[core id: 4][trace id: 6] [INSTANCE 3 -- CHANNEL 1 -- SIZE: 16 ] message header is: ######IP
[core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[core id: 4][trace id: 18] [INSTANCE 3 -- CHANNEL 1 -- SIZE: 16 ] message header is: ######IP
[core id: 4][trace id: 19] [INSTANCE 3 -- CHANNEL 1 -- SIZE: 16 ] message header is: ######IP
[core id: 4][trace id: 20] [INSTANCE 3 -- CHANNEL 1 -- SIZE: 16 ] message header is: ######IP
[core id: 4][trace id: 21] [INSTANCE 3 -- CHANNEL 1 -- SIZE: 16 ] message header is: ######IP
[core id: 4][trace id: 22] [INSTANCE 3 -- CHANNEL 1 -- SIZE: 16 ] message header is: ######IP[core id: 4][trace id: 23] [INSTANCE 3 -- CHANNEL 2 -- SIZE: 16 ] message header is: ######IP
[core id: 4][trace id: 24] [INSTANCE 3 -- CHANNEL 2 -- SIZE: 16 ] message header is: ######IP
[core id: 4][trace id: 25] [INSTANCE 3 -- CHANNEL 2 -- SIZE: 16 ] message header is: ######IP
[core id: 4][trace id: 26] [INSTANCE 3 -- CHANNEL 2 -- SIZE: 16 ] message header is: ######IP
[core id: 4][trace id: 27] [INSTANCE 3 -- CHANNEL 2 -- SIZE: 16 ] message header is: ######IP[core id: 4][trace id: 28] [INSTANCE 3 -- CHANNEL 3 -- SIZE: 16 ] message header is: ######IP
[core id: 4][trace id: 29] [INSTANCE 3 -- CHANNEL 3 -- SIZE: 16 ] message header is: ######IP
[core id: 4][trace id: 30] [INSTANCE 3 -- CHANNEL 3 -- SIZE: 16 ] message header is: ######IP
[core id: 4][trace id: 31] [INSTANCE 3 -- CHANNEL 3 -- SIZE: 16 ] message header is: ######IP
[core id: 4][trace id: 32] [INSTANCE 3 -- CHANNEL 3 -- SIZE: 16 ] message header is: ######IP[core id: 4][trace id: 33] [INSTANCE 3 -- CHANNEL 1 -- SIZE: 256 ] message header is: ######IPCS test
[core id: 4][trace id: 34] [INSTANCE 3 -- CHANNEL 1 -- SIZE: 256 ] message header is: ######IPCS test
[core id: 4][trace id: 35] [INSTANCE 3 -- CHANNEL 1 -- SIZE: 256 ] message header is: ######IPCS test
[core id: 4][trace id: 36] [INSTANCE 3 -- CHANNEL 1 -- SIZE: 256 ] message header is: ######IPCS test
[core id: 4][trace id: 37] [INSTANCE 3 -- CHANNEL 1 -- SIZE: 256 ] message header is: ######IPCS test
[core id: 4][trace id: 38] [INSTANCE 3 -- CHANNEL 2 -- SIZE: 256 ] message header is: ######IPCS test
[core id: 4][trace id: 39] [INSTANCE 3 -- CHANNEL 2 -- SIZE: 256 ] message header is: ######IPCS test
[core id: 4][trace id: 40] [INSTANCE 3 -- CHANNEL 2 -- SIZE: 256 ] message header is: ######IPCS test
[core id: 4][trace id: 41] [INSTANCE 3 -- CHANNEL 2 -- SIZE: 256 ] message header is: ######IPCS test
[core id: 4][trace id: 42] [INSTANCE 3 -- CHANNEL 2 -- SIZE: 256 ] message header is: ######IPCS test
[core id: 4][trace id: 43] [INSTANCE 3 -- CHANNEL 3 -- SIZE: 4096 ] message header is: ######IPCS test
[core id: 4][trace id: 44] [INSTANCE 3 -- CHANNEL 3 -- SIZE: 4096 ] message header is: ######IPCS test
[core id: 4][trace id: 45] [INSTANCE 3 -- CHANNEL 3 -- SIZE: 4096 ] message header is: ######IPCS test
[core id: 4][trace id: 46] [INSTANCE 3 -- CHANNEL 3 -- SIZE: 4096 ] message header is: ######IPCS test
[core id: 4][trace id: 47] [INSTANCE 3 -- CHANNEL 3 -- SIZE: 4096 ] message header is: ######IPCS test
tcf@Run API testCmd_getTestResult on core 0. Result: Passed@tcf
*
*</t>
  </si>
  <si>
    <t>IPCS_TS_4_TC_000</t>
  </si>
  <si>
    <t xml:space="preserve"> IPCS_021,  IPCS_028</t>
  </si>
  <si>
    <t>1. RDB02平台正常启动；
 2.IPCS配置初始化完成，回调函数定义实现，预定义消息字符串；
3.通道配置：测试instance的通道0作为unmanage channel，buffer size为4096.</t>
  </si>
  <si>
    <t xml:space="preserve">LOCAL：
1.测试初始化：发送测试管理模块复位命令、发送测试任务状态到TS_04_000状态、发送测试触发命令ts_4tc_ping-pong-00；
2.测试加班延迟2s，发送读取测试结果命令，读取测试结果；测试管理模块会返回失败的测试点信息；
REMOTE:
1.测试初始化：发送测试管理模块复位命令、发送测试任务状态到TS_04_000状态；
2.测试加班延迟2s，发送读取测试结果命令，读取测试结果；测试管理模块会返回失败的测试点信息；
</t>
  </si>
  <si>
    <t>20251205_11_49_47</t>
  </si>
  <si>
    <t>Test info from target:  -- parameter 0tcf@Run API testCmd_setTestPhaseFlag on core 0. Result: Passed@tcf
Test info from target:  -- parameter 0tcf@Run API testCmd_setTestPhaseFlag on core 1. Result: Passed@tcf
Test info from target:  -- parameter 7tcf@Run API testCmd_setNextTestType on core 0. Result: Passed@tcf
Test info from target:  -- parameter 7tcf@Run API testCmd_setNextTestType on core 1. Result: Passed@tcf
Test info from target: [SYS-ts04-unmanaged-channel-ping-pong] test.
tcf@Run API ipcsTc_sysUnmngChanPingPong on core 0. Result: Passed@tcf
Test info from target: [TEST RESULT] -&gt;
[core id: 4][trace id: 0] [INSTANCE 3 -- CHANNEL 1 -- Current message number: 11 ]ping-pong test passed.
[core id: 4][trace id: 1] [INSTANCE 3 -- CHANNEL 2 -- Current message number: 11 ]ping-pong test passed.
[core id: 4][trace id: 2] [INSTANCE 3 -- CHANNEL 3 -- Current message number: 11 ]ping-pong test passed.
[core id: 4][trace id: 3] [INSTANCE 3 -- CHANNEL 1 -- SIZE: 16 ] message header is: ######IP
[core id: 4][trace id: 4] [INSTANCE 3 -- CHANNEL 1 -- SIZE: 16 ] message header is: ######IP
[core id: 4][trace id: 5] [INSTANCE 3 -- CHANNEL 1 -- SIZE: 16 ] message header is: ######IP
c   [ Created polling task ]
Core 4 finishes initialization. Running test task.
Core 4 finishes[core id: 4][trace id: 7] [INSTANCE 3 -- CHANNEL 1 -- SIZE: 16 ] message header is: ######IP[core id: 4][trace id: 8] [INSTANCE 3 -- CHANNEL 2 -- SIZE: 256 ] message header is: ######IPCS test
[core id: 4][trace id: 9] [INSTANCE 3 -- CHANNEL 2 -- SIZE: 256 ] message header is: ######IPCS test
[core id: 4][trace id: 10] [INSTANCE 3 -- CHANNEL 2 -- SIZE: 256 ] message header is: ######IPCS test
[core id: 4][trace id: 11] [INSTANCE 3 -- CHANNEL 2 -- SIZE: 256 ] message header is: ######IPCS test
[core id: 4][trace id: 12] [INSTANCE 3 -- CHANNEL 2 -- SIZE: 256 ] message header is: ######IPCS test
[core id: 4][trace id: 13] [INSTANCE 3 -- CHANNEL 3 -- SIZE: 4096 ] message header is: ######IPCS test
[core id: 4][trace id: 14] [INSTANCE 3 -- CHANNEL 3 -- SIZE: 4096 ] message header is: ######IPCS test
[core id: 4][trace id: 15] [INSTANCE 3 -- CHANNEL 3 -- SIZE: 4096 ] message header is: ######IPCS test
[core id: 4][trace id: 16] [INSTANCE 3 -- CHANNEL 3 -- SIZE: 4096 ] message header is: ######IPCS test
[core id: 4][trace id: 17] [INSTANCE 3 -- CHANNEL 3 -- SIZE: 4096 ] message header is: ######IPCS test
[core id: 4][trace id: 18] [INSTANCE 3 -- CHANNEL 1 -- SIZE: 16 ] message header is: ######IP
[core id: 4][trace id: 19] [INSTANCE 3 -- CHANNEL 1 -- SIZE: 16 ] message header is: ######IP
[core id: 4][trace id: 20] [INSTANCE 3 -- CHANNEL 1 -- SIZE: 16 ] message header is: ######IP
[core id: 4][trace id: 21] [INSTANCE 3 -- CHANNEL 1 -- SIZE: 16 ] message header is: ######IP
[core id: 4][trace id: 22] [INSTANCE 3 -- CHANNEL 1 -- SIZE: 16 ] message header is: ######IP[core id: 4][trace id: 23] [INSTANCE 3 -- CHANNEL 2 -- SIZE: 16 ] message header is: ######IP
[core id: 4][trace id: 24] [INSTANCE 3 -- CHANNEL 2 -- SIZE: 16 ] message header is: ######IP
[core id: 4][trace id: 25] [INSTANCE 3 -- CHANNEL 2 -- SIZE: 16 ] message header is: ######IP
[core id: 4][trace id: 26] [INSTANCE 3 -- CHANNEL 2 -- SIZE: 16 ] message header is: ######IP
[core id: 4][trace id: 27] [INSTANCE 3 -- CHANNEL 2 -- SIZE: 16 ] message header is: ######IP[core id: 4][trace id: 28] [INSTANCE 3 -- CHANNEL 3 -- SIZE: 16 ] message header is: ######IP
[core id: 4][trace id: 29] [INSTANCE 3 -- CHANNEL 3 -- SIZE: 16 ] message header is: ######IP
[core id: 4][trace id: 30] [INSTANCE 3 -- CHANNEL 3 -- SIZE: 16 ] message header is: ######IP
[core id: 4][trace id: 31] [INSTANCE 3 -- CHANNEL 3 -- SIZE: 16 ] message header is: ######IP
[core id: 4][trace id: 32] [INSTANCE 3 -- CHANNEL 3 -- SIZE: 16 ] message header is: ######IP[core id: 4][trace id: 33] [INSTANCE 3 -- CHANNEL 1 -- SIZE: 256 ] message header is: ######IPCS test
[core id: 4][trace id: 34] [INSTANCE 3 -- CHANNEL 1 -- SIZE: 256 ] message header is: ######IPCS test
[core id: 4][trace id: 35] [INSTANCE 3 -- CHANNEL 1 -- SIZE: 256 ] message header is: ######IPCS test
[core id: 4][trace id: 36] [INSTANCE 3 -- CHANNEL 1 -- SIZE: 256 ] message header is: ######IPCS test
[core id: 4][trace id: 37] [INSTANCE 3 -- CHANNEL 1 -- SIZE: 256 ] message header is: ######IPCS test
[core id: 4][trace id: 38] [INSTANCE 3 -- CHANNEL 2 -- SIZE: 256 ] message header is: ######IPCS test
[core id: 4][trace id: 39] [INSTANCE 3 -- CHANNEL 2 -- SIZE: 256 ] message header is: ######IPCS test
[core id: 4][trace id: 40] [INSTANCE 3 -- CHANNEL 2 -- SIZE: 256 ] message header is: ######IPCS test
[core id: 4][trace id: 41] [INSTANCE 3 -- CHANNEL 2 -- SIZE: 256 ] message header is: ######IPCS test
[core id: 4][trace id: 42] [INSTANCE 3 -- CHANNEL 2 -- SIZE: 256 ] message header is: ######IPCS test
[core id: 4][trace id: 43] [INSTANCE 3 -- CHANNEL 3 -- SIZE: 4096 ] message header is: ######IPCS test
[core id: 4][trace id: 44] [INSTANCE 3 -- CHANNEL 3 -- SIZE: 4096 ] message header is: ######IPCS test
[core id: 4][trace id: 45] [INSTANCE 3 -- CHANNEL 3 -- SIZE: 4096 ] message header is: ######IPCS test
[core id: 4][trace id: 46] [INSTANCE 3 -- CHANNEL 3 -- SIZE: 4096 ] message header is: ######IPCS test
[core id: 4][trace id: 47] [INSTANCE 3 -- CHANNEL 3 -- SIZE: 4096 ] message header is: ######IPCS test
[core id: 4][trace id: 48] [INSTANCE 3 -- CHANNEL 0 -- Current message number: 101 ]ping-pong test passed.
tcf@Run API testCmd_getTestResult on core 0. Result: Passed@tcf
Test info from target: [TEST RESULT] -&gt;
[core id: 5][trace id: 0] [INSTANCE 1 -- CHANNEL 1 -- Current message number: 10 ]ping-pong test passed.
[core id: 5][trace id: 1] [INSTANCE 1 -- CHANNEL 2 -- Current message number: 10 ]ping-pong test passed.
[core id: 5][trace id: 2] [INSTANCE 1 -- CHANNEL 3 -- Current message number: 10 ]ping-pong test passed.
[core id: 5][trace id: 3] [INSTANCE 1 -- CHANNEL 1 -- Current message number: 0 ]ping-pong test passed.
[core id: 5][trace id: 4] [INSTANCE 1 -- CHANNEL 2 -- Current message number: 0 ]ping-pong test passed.
[core id: 5][trace id: 5] [INSTANCE 1 -- CHANNEL 1 -- Current message number: 0 ]ping-pong test passed.
[core id: 5][trace id: 6] [INSTANCE 1 -- CHANNEL 3 -- Current message number: 0 ]ping-pong test passed.
[core id: 5][trace id: 7] [INSTANCE 1 -- CHANNEL 2 -- Current message number: 0 ]ping-pong test passed.
[core id: 5][trace id: 8] [INSTANCE 1 -- CHANNEL 3 -- Current message number: 0 ]ping-pong test passed.
[core id: 5][trace id: 9] [INSTANCE 1 -- CHANNEL 1 -- Current message number: 0 ]ping-pong test passed.
[core id: 5][trace id: 10] [INSTANCE 1 -- CHANNEL 2 -- Current message number: 0 ]ping-pong test passed.
[core id: 5][trace id: 11] [INSTANCE 1 -- CHANNEL 1 -- Current message number: 0 ]ping-pong test passed.
[core id: 5][trace id: 12] [INSTANCE 1 -- CHANNEL 3 -- Current message number: 0 ]ping-pong test passed.
[core id: 5][trace id: 13] [INSTANCE 1 -- CHANNEL 2 -- Current message number: 0 ]ping-pong test passed.
[core id: 5][trace id: 14] [INSTANCE 1 -- CHANNEL 3 -- Current message number: 0 ]ping-pong test passed.
[core id: 5][trace id: 15] [INSTANCE 1 -- CHANNEL 1 -- Current message number: 0 ]ping-pong test passed.
[core id: 5][trace id: 16] [INSTANCE 1 -- CHANNEL 2 -- Current message number: 0 ]ping-pong test passed.
[core id: 5][trace id: 17] [INSTANCE 1 -- CHANNEL 3 -- Current message number: 0 ]ping-pong test passed.
[core id: 5][trace id: 18] [INSTANCE 1 -- CHANNEL 1 -- Current message number: 0 ]ping-pong test passed.
[core id: 5][trace id: 19] [INSTANCE 1 -- CHANNEL 2 -- Current message number: 0 ]ping-pong test passed.
[core id: 5][trace id: 20] [INSTANCE 1 -- CHANNEL 1 -- Current message number: 0 ]ping-pong test passed.
[core id: 5][trace id: 21] [INSTANCE 1 -- CHANNEL 3 -- Current message number: 0 ]ping-pong test passed.
[core id: 5][trace id: 22] [INSTANCE 1 -- CHANNEL 2 -- Current message number: 0 ]ping-pong test passed.
[core id: 5][trace id: 23] [INSTANCE 1 -- CHANNEL 3 -- Current message number: 0 ]ping-pong test passed.
[core id: 5][trace id: 24] [INSTANCE 1 -- CHANNEL 1 -- Current message number: 0 ]ping-pong test passed.
[core id: 5][trace id: 25] [INSTANCE 1 -- CHANNEL 2 -- Current message number: 0 ]ping-pong test passed.
[core id: 5][trace id: 26] [INSTANCE 1 -- CHANNEL 1 -- Current message number: 0 ]ping-pong test passed.
[core id: 5][trace id: 27] [INSTANCE 1 -- CHANNEL 2 -- Current message number: 0 ]ping-pong test passed.
[core id: 5][trace id: 28] [INSTANCE 1 -- CHANNEL 3 -- Current message number: 0 ]ping-pong test passed.
[core id: 5][trace id: 29] [INSTANCE 1 -- CHANNEL 1 -- Current message number: 0 ]ping-pong test passed.
[core id: 5][trace id: 30] [INSTANCE 1 -- CHANNEL 3 -- Current message number: 0 ]ping-pong test passed.
[core id: 5][trace id: 31] [INSTANCE 1 -- CHANNEL 2 -- Current message number: 0 ]ping-pong test passed.
[core id: 5][trace id: 32] [INSTANCE 1 -- CHANNEL 3 -- Current message number: 0 ]ping-pong test passed.
[core id: 5][trace id: 33] [INSTANCE 1 -- CHANNEL 1 -- Current message number: 0 ]ping-pong test passed.
[core id: 5][trace id: 34] [INSTANCE 1 -- CHANNEL 2 -- Current message number: 0 ]ping-pong test passed.
[core id: 5][trace id: 35] [INSTANCE 1 -- CHANNEL 1 -- Current message number: 0 ]ping-pong test passed.
[core id: 5][trace id: 36] [INSTANCE 1 -- CHANNEL 3 -- Current message number: 0 ]ping-pong test passed.
[core id: 5][trace id: 37] [INSTANCE 1 -- CHANNEL 2 -- Current message number: 0 ]ping-pong test passed.
[core id: 5][trace id: 38] [INSTANCE 1 -- CHANNEL 3 -- Current message number: 0 ]ping-pong test passed.
[core id: 5][trace id: 39] [INSTANCE 1 -- CHANNEL 1 -- Current message number: 0 ]ping-pong test passed.
[core id: 5][trace id: 40] [INSTANCE 1 -- CHANNEL 2 -- Current message number: 0 ]ping-pong test passed.
[core id: 5][trace id: 41] [INSTANCE 1 -- CHANNEL 1 -- Current message number: 0 ]ping-pong test passed.
[core id: 5][trace id: 42] [INSTANCE 1 -- CHANNEL 3 -- Current message number: 0 ]ping-pong test passed.
[core id: 5][trace id: 43] [INSTANCE 1 -- CHANNEL 2 -- Current message number: 0 ]ping-pong test passed.
[core id: 5][trace id: 44] [INSTANCE 1 -- CHANNEL 3 -- Current message number: 0 ]ping-pong test passed.
[core id: 5][trace id: 45] [INSTANCE 1 -- CHANNEL 1 -- Current message number: 0 ]ping-pong test passed.
[core id: 5][trace id: 46] [INSTANCE 1 -- CHANNEL 2 -- Current message number: 0 ]ping-pong test passed.
[core id: 5][trace id: 47] [INSTANCE 1 -- CHANNEL 3 -- Current message number: 0 ]ping-pong test passed.
[core id: 5][trace id: 48] [INSTANCE 1 -- CHANNEL 0 -- Current message number: 100 ]ping-pong test passed.
tcf@Run API testCmd_getTestResult on core 1. Result: Passed@tcf</t>
  </si>
  <si>
    <t>IPCS_TS_4_TC_001</t>
  </si>
  <si>
    <t xml:space="preserve">LOCAL：
1.测试初始化：发送测试管理模块复位命令、发送测试任务状态到TS_04_001状态、发送测试触发命令ts_4tc_streaming-00；
2.测试加班延迟2s，发送读取测试结果命令，读取测试结果；测试管理模块会返回失败的测试点信息；
REMOTE:
1.测试初始化：发送测试管理模块复位命令、发送测试任务状态到TS_04_001状态；
2.测试加班延迟2s，发送读取测试结果命令，读取测试结果；测试管理模块会返回失败的测试点信息；
</t>
  </si>
  <si>
    <t>20251205_11_50_41</t>
  </si>
  <si>
    <t>Test info from target: tcf@Run API testCmd_resetTestMngr on core 0. Result: Passed@tcf
Test info from target: tcf@Run API testCmd_resetTestMngr on core 1. Result: Passed@tcf
Test info from target:  -- parameter 0tcf@Run API testCmd_setTestPhaseFlag on core 0. Result: Passed@tcf
Test info from target:  -- parameter 0tcf@Run API testCmd_setTestPhaseFlag on core 1. Result: Passed@tcf
Test info from target:  -- parameter 8tcf@Run API testCmd_setNextTestType on core 0. Result: Passed@tcf
Test info from target:  -- parameter 8tcf@Run API testCmd_setNextTestType on core 1. Result: Passed@tcf
Test info from target:  -- parameter 10, 16 -- test times is 10, payload size is 16tcf@Run API ipcsTc_sysTs04SetUnmngFrameNum on core 1. Result: Passed@tcf
Test info from target: [SYS-ts04-unmanaged-channel-streaming] test.
tcf@Run API ipcsTc_sysUnmngChanStream on core 0. Result: Passed@tcf
Wait 3.0 seconds to get the test result ...
Test info from target: [TEST RESULT] -&gt;
[core id: 4][trace id: 0] Received 10 frames on core 0, current session is end.
tcf@Run API testCmd_getTestResult on core 0. Result: Passed@tcf
Test info from target: [TEST RESULT] -&gt;
[core id: 5][trace id: 0] [sender] transmit data.
[core id: 5][trace id: 1] [sender] transmit data.
[core id: 5][trace id: 2] [sender] transmit data.
[core id: 5][trace id: 3] [sender] transmit data.
[core id: 5][trace id: 4] [sender] transmit data.
[core id: 5][trace id: 5] [sender] transmit data.
[core id: 5][trace id: 6] [sender] transmit data.
[core id: 5][trace id: 7] [sender] transmit data.
[core id: 5][trace id: 8] [sender] transmit data.
[core id: 5][trace id: 9] Transmitted 10 data frames on core 1, current session is end.
tcf@Run API testCmd_getTestResult on core 1. Result: Passed@tcf</t>
  </si>
  <si>
    <t>IPCS_TS_6_TC_000</t>
  </si>
  <si>
    <t xml:space="preserve"> IPCS_039</t>
  </si>
  <si>
    <t xml:space="preserve">LOCAL：
1. 运行自动测试脚本，依次发送测试管理复位命令、polling模式启用命令、切换测试状态为TC_BURST_00 (0)，最后发送tc_burst_00 触发自动测试；
2.延迟1S,发送从测试管理模块读取测试结果的指令，读取测试结果；测试管理模块会校验ipcs buffer获取、ipcs 发送、各通道数据完整性、各通道数据包数量；
REMOTE:
1. 运行自动测试脚本，依次发送测试管理复位命令、polling模式启用命令、切换测试状态为TC_BURST_00 (0)；
2.延迟1S,发送从测试管理模块读取测试结果的指令，读取测试结果；测试管理模块会校验ipcs buffer获取、ipcs 发送、各通道数据完整性、各通道数据包数量；
</t>
  </si>
  <si>
    <t>20251205_11_57_32</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</si>
  <si>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0tcf@Run API testCmd_setNextTestType on core 0. Result: Passed@tcf
Test info from target:  -- parameter 0tcf@Run API testCmd_setNextTestType on core 1. Result: Passed@tcf
Test info from target: tcf@Run API ipcsTc_sysTs006PollingModeStart on core 0. Result: Passed@tcf
Test info from target: [SYS-ts06-burst-transmission] test.
tcf@Run API ipcsTc_sysBurstPolling on core 0. Result: Passed@tcf
Test info from target:  Suspend polling thread, 0x35380550.
tcf@Run API ipcsTc_sysTs006PollingModeStop on core 0. Result: Passed@tcf
Test info from target: [TEST RESULT] -&gt;
tcf@Run API testCmd_getTestResult on core 1. Result: Passed@tcf
Test info from target: [TEST RESULT] -&gt;
[core id: 4][trace id: 0] [INSTANCE 6 -- CHANNEL 3 -- SIZE: 16 ] message header is: ######IP[core id: 4][trace id: 1] [INSTANCE 6 -- CHANNEL 4 -- SIZE: 256 ] message header is: ######IPCS test
[core id: 4][trace id: 2] [INSTANCE 6 -- CHANNEL 5 -- SIZE: 4096 ] message header is: ######IPCS test
[core id: 4][trace id: 3] [INSTANCE 6 -- CHANNEL 3 -- SIZE: 16 ] message header is: ######IP[core id: 4][trace id: 4] [INSTANCE 6 -- CHANNEL 4 -- SIZE: 256 ] message header is: ######IPCS test
[core id: 4][trace id: 5] [INSTANCE 6 -- CHANNEL 3 -- SIZE: 16 ] message header is: ######IP[core id: 4][trace id: 6] [INSTANCE 6 -- CHANNEL 5 -- SIZE: 4096 ] message header is: ######IPCS test
[core id: 4][trace id: 7] [INSTANCE 6 -- CHANNEL 4 -- SIZE: 256 ] message header is: ######IPCS test
[core id: 4][trace id: 8] [INSTANCE 6 -- CHANNEL 5 -- SIZE: 4096 ] message header is: ######IPCS test
[core id: 4][trace id: 9] [INSTANCE 6 -- CHANNEL 3 -- SIZE: 16 ] message header is: ######IP[core id: 4][trace id: 10] [INSTANCE 6 -- CHANNEL 4 -- SIZE: 256 ] message header is: ######IPCS test
[core id: 4][trace id: 11] [INSTANCE 6 -- CHANNEL 3 -- SIZE: 16 ] message header is: ######IP[core id: 4][trace id: 12] [INSTANCE 6 -- CHANNEL 5 -- SIZE: 4096 ] message header is: ######IPCS test
[core id: 4][trace id: 13] [INSTANCE 6 -- CHANNEL 4 -- SIZE: 256 ] message header is: ######IPCS test
[core id: 4][trace id: 14] [INSTANCE 6 -- CHANNEL 5 -- SIZE: 4096 ] message header is: ######IPCS test
tcf@Run API testCmd_getTestResult on core 0. Result: Passed@tcf
*
*</t>
  </si>
  <si>
    <t>IPCS_TS_7_TC_000</t>
  </si>
  <si>
    <t xml:space="preserve">LOCAL：
1.运行自动测试脚本，依次发送测试管理复位命令、polling模式启用命令、切换测试状态为TC_PING-PONG_00，最后发送测试触发命令tc_ping-pong-00；
2.延迟2s，发送读取测试结果命令，读取测试结果；测试管理模块会返回失败的测试点信息；
REMOTE:
1.运行自动测试脚本，依次发送测试管理复位命令、polling模式启用命令、切换测试状态为TC_PING-PONG_00;
2.延迟2s，发送读取测试结果命令，读取测试结果；测试管理模块会返回失败的测试点信息；
</t>
  </si>
  <si>
    <t>20251205_11_58_32</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</si>
  <si>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3tcf@Run API testCmd_setNextTestType on core 0. Result: Passed@tcf
Test info from target:  -- parameter 3tcf@Run API testCmd_setNextTestType on core 1. Result: Passed@tcf
Test info from target: tcf@Run API ipcsTc_sysTs006PollingModeStart on core 0. Result: Passed@tcf
Test info from target: [SYS-ts06-polling] test.
tcf@Run API ipcsTc_sysPingPongPolling on core 0. Result: Passed@tcf
delay 3 seconds ...
Test info from target:  Suspend polling thread, 0x35380550.
tcf@Run API ipcsTc_sysTs006PollingModeStop on core 0. Result: Passed@tcf
Test info from target: [TEST RESULT] -&gt;
[core id: 5][trace id: 0] [INSTANCE 2 -- CHANNEL 3 -- Current message number: 100 ]ping-pong test passed.
[core id: 5][trace id: 1] [INSTANCE 2 -- CHANNEL 3 -- Current message number: 100 ]ping-pong test passed.
[core id: 5][trace id: 2] [INSTANCE 2 -- CHANNEL 4 -- Current message number: 100 ]ping-pong test passed.
[core id: 5][trace id: 3] [INSTANCE 2 -- CHANNEL 4 -- Current message number: 100 ]ping-pong test passed.
[core id: 5][trace id: 4] [INSTANCE 2 -- CHANNEL 5 -- Current message number: 100 ]ping-pong test passed.
[core id: 5][trace id: 5] [INSTANCE 2 -- CHANNEL 5 -- Current message number: 100 ]ping-pong test passed.
tcf@Run API testCmd_getTestResult on core 1. Result: Passed@tcf
Test info from target: [TEST RESULT] -&gt;
[core id: 4][trace id: 0] [INSTANCE 6 -- CHANNEL 3 -- Current message number: 101 ]ping-pong test passed.
[core id: 4][trace id: 1] [INSTANCE 6 -- CHANNEL 3 -- Current message number: 101 ]ping-pong test passed.
[core id: 4][trace id: 2] [INSTANCE 6 -- CHANNEL 4 -- Current message number: 101 ]ping-pong test passed.
[core id: 4][trace id: 3] [INSTANCE 6 -- CHANNEL 4 -- Current message number: 101 ]ping-pong test passed.
[core id: 4][trace id: 4] [INSTANCE 6 -- CHANNEL 5 -- Current message number: 101 ]ping-pong test passed.
[core id: 4][trace id: 5] [INSTANCE 6 -- CHANNEL 5 -- Current message number: 101 ]ping-pong test passed.
tcf@Run API testCmd_getTestResult on core 0. Result: Passed@tcf</t>
  </si>
  <si>
    <t>IPCS_TS_8_TC_000</t>
  </si>
  <si>
    <t xml:space="preserve"> IPCS_021,  IPCS_028,  IPCS_039</t>
  </si>
  <si>
    <t xml:space="preserve">LOCAL：
1.运行自动测试脚本，依次发送测试管理复位命令、polling模式启用命令、切换测试状态为UNMNG_PING_PONG，最后发送测试触发命令sysUnmngChanPingPongPolling;
2.延迟2s，发送读取测试结果命令，读取测试结果；测试管理模块会返回失败的测试点信息；
REMOTE:
1.运行自动测试脚本，依次发送测试管理复位命令、polling模式启用命令、切换测试状态为UNMNG_PING_PONG;
2.延迟2s，发送读取测试结果命令，读取测试结果；测试管理模块会返回失败的测试点信息；
</t>
  </si>
  <si>
    <t>20251205_11_59_31</t>
  </si>
  <si>
    <t>IPCS_TS_9_TC_000</t>
  </si>
  <si>
    <t xml:space="preserve">
1.运行自动测试脚本，发送ipcsMngChnPingPongScenario00命令，进行测试；
2.运行ipcsReinitVarificationInstTest命令，实现Free/re-initialize两个步骤后，再次发送ipcsMngChnPingPongScenario00命令到测试断；
3.延迟2s，发送读取测试结果命令，读取测试结果；测试管理模块会返回失败的测试点信息；
</t>
  </si>
  <si>
    <t>This section includes tables that make it possible to trace which software requirement have been tested with each test case. Test cases should be mapped to software requirements, and software requirements should be mapped to test cases.本部分包含的表格使得跟踪每个测试用例测试了哪些软件需求成为可能。测试用例应该映射到软件需求，而软件需求应该映射到测试用例。</t>
  </si>
  <si>
    <t>Upstream Document 上游文档</t>
  </si>
  <si>
    <t>Upstream Requirement ID
上游需求ID</t>
  </si>
  <si>
    <t>ASIL</t>
  </si>
  <si>
    <t>Test Case ID
测试用例ID</t>
  </si>
  <si>
    <t>softwar requirement specification 软件需求规范</t>
  </si>
  <si>
    <t>Test Case Naming Rules 测试用例命名规则</t>
  </si>
  <si>
    <t>The name of the test case must follow the form below:
SWU_AAA_ZZZ
SWU =&gt; software unit to test
AAA =&gt; abbreviation of function test case
ZZZ =&gt; number of the test in range [001..999]</t>
  </si>
  <si>
    <t>Tools Reference 工具参考</t>
  </si>
  <si>
    <t>Tool 
工具</t>
  </si>
  <si>
    <t>Version
版本</t>
  </si>
  <si>
    <t>Calibration 
校准日期</t>
  </si>
  <si>
    <t>Configuration
配置</t>
  </si>
  <si>
    <t>ZLG USBCANDF-400U</t>
  </si>
  <si>
    <t>V1.00</t>
  </si>
  <si>
    <t>4路CAN，2路LIN</t>
  </si>
  <si>
    <t>Kingst Logic Analyzer</t>
  </si>
  <si>
    <t>LA1010</t>
  </si>
  <si>
    <t>16路</t>
  </si>
  <si>
    <t>Power supply</t>
  </si>
  <si>
    <t>12V 1A</t>
  </si>
  <si>
    <t>C1 EVB01 SW Test Environment 软件测试环境</t>
  </si>
  <si>
    <t>C1 EVB01-PCIE SW Test Environment 软件测试环境</t>
  </si>
  <si>
    <t>C1 RDB02 SW Test Environment 软件测试环境</t>
  </si>
  <si>
    <t>General Settings 通用设置</t>
  </si>
  <si>
    <t>Signal 信号</t>
  </si>
  <si>
    <t>Type 类型</t>
  </si>
  <si>
    <t>Direction 方向</t>
  </si>
  <si>
    <t>Value 值</t>
  </si>
  <si>
    <t>Accuracy 精度</t>
  </si>
  <si>
    <t>Card 标准</t>
  </si>
  <si>
    <t>Power Supply</t>
  </si>
  <si>
    <t>A</t>
  </si>
  <si>
    <t>O</t>
  </si>
  <si>
    <t>12V</t>
  </si>
  <si>
    <t>+/-0.1V</t>
  </si>
  <si>
    <t>Test Platform 测试平台</t>
  </si>
  <si>
    <t>测试平台-类别</t>
  </si>
  <si>
    <t>测试模块</t>
  </si>
  <si>
    <t>EVB1-Group1</t>
  </si>
  <si>
    <t>pwm</t>
  </si>
  <si>
    <t>EVB1-Group2</t>
  </si>
  <si>
    <t>EVB1-Group3</t>
  </si>
  <si>
    <t>ocu</t>
  </si>
  <si>
    <t>EVB1-Group4</t>
  </si>
  <si>
    <t>icu</t>
  </si>
  <si>
    <t>RDB02-Group1</t>
  </si>
  <si>
    <t>adc,base,dio,fee,fls,gpt,mcp,platform,uart,can,crc,eep,eth,i2c,lin,otp,pmic,pcie,pcieIf,sac,serdes,spi,thermal,wdg,wdgVR5510</t>
  </si>
  <si>
    <t>RDB02-Group2</t>
  </si>
  <si>
    <t>adc,eth,qdec,port</t>
  </si>
  <si>
    <t>RDB02-Group3</t>
  </si>
  <si>
    <t>base,sac,platform</t>
  </si>
  <si>
    <t>RDB02-Group4</t>
  </si>
  <si>
    <t>mcu</t>
  </si>
  <si>
    <t>TEST SUMMARY</t>
  </si>
  <si>
    <t>general information
通用信息</t>
  </si>
  <si>
    <t>Hardware version硬件版本</t>
  </si>
  <si>
    <t>Software version软件版本</t>
  </si>
  <si>
    <t>c1_v1.0.0.Beta4_2025.0930.103520</t>
  </si>
  <si>
    <t>Duration (from/to)持续时间（从/到）</t>
  </si>
  <si>
    <t>Tester测试员</t>
  </si>
  <si>
    <t>xxx</t>
  </si>
  <si>
    <t>Test case metrics
测试用例度量</t>
  </si>
  <si>
    <t>No of total test cases测试用例总数</t>
  </si>
  <si>
    <t>No of test cases planned in this round/ percentage
此轮计划的测试用例数/百分比</t>
  </si>
  <si>
    <t>No of test cases passed/pass rate
通过的测试用例数/通过率</t>
  </si>
  <si>
    <t>No of test cases failed/ rate
未通过的测试用例数/占比</t>
  </si>
  <si>
    <t>No. of tests that are not run/ execution rate
未执行的测试数/执行率</t>
  </si>
  <si>
    <t>Defects
缺陷</t>
  </si>
  <si>
    <t xml:space="preserve"> Number of defects found
发现缺陷数</t>
  </si>
  <si>
    <t xml:space="preserve"> Number of defects verified &amp; closed
验证和关闭的缺陷数</t>
  </si>
  <si>
    <t xml:space="preserve"> Number of defects still open
仍未关闭的缺陷数</t>
  </si>
  <si>
    <t xml:space="preserve"> Number of defects high still open
高风险缺陷仍未关闭数</t>
  </si>
  <si>
    <t>Conclusion
结论</t>
  </si>
  <si>
    <t>Status状态</t>
  </si>
  <si>
    <t>Comments建议</t>
  </si>
  <si>
    <t>Upstream Document 上游文件</t>
  </si>
  <si>
    <t>SW REQ No.
软件需求数量</t>
  </si>
  <si>
    <t>Test Case No.
测试用例数量</t>
  </si>
  <si>
    <t>Target Coverage
覆盖率目标</t>
  </si>
  <si>
    <t>Tested SW REQ No.
测试的软件需求数量</t>
  </si>
  <si>
    <t>Real  Coverage
实际覆盖率</t>
  </si>
  <si>
    <t>Software Requirement Specification</t>
  </si>
  <si>
    <t>Test Cases ID 测试ID</t>
  </si>
  <si>
    <t>Pass 通过</t>
  </si>
  <si>
    <t>Fail失败</t>
  </si>
  <si>
    <t>Not Executed 没有执行</t>
  </si>
  <si>
    <t>Ticket Number票号</t>
  </si>
  <si>
    <t>Comments评论</t>
  </si>
  <si>
    <t>Template CHANGE HISTORY
模板变更历史</t>
  </si>
  <si>
    <t>薛艳江</t>
  </si>
  <si>
    <t>Released</t>
  </si>
  <si>
    <t>Initial release初始发行</t>
  </si>
  <si>
    <t>V1.1</t>
  </si>
  <si>
    <t>孔繁鑫</t>
  </si>
  <si>
    <t>Test Case Report页添加列</t>
  </si>
  <si>
    <t>V1.2</t>
  </si>
  <si>
    <t>Test Case Report页调整列，Summary页添加公式</t>
  </si>
  <si>
    <t>Test info from target:  -- parameter 0tcf@Run API testCmd_setTestPhaseFlag on core 0. Result: Passed@tcf
Test info from target:  -- parameter 0tcf@Run API testCmd_setTestPhaseFlag on core 1. Result: Passed@tcf
Test info from target: tcf@Run API testCmd_resetTestMngr on core 0. Result: Passed@tcf
Test info from target: tcf@Run API testCmd_resetTestMngr on core 1. Result: Passed@tcf
Test info from target:  -- parameter 7tcf@Run API testCmd_setNextTestType on core 0. Result: Passed@tcf
Test info from target:  -- parameter 7tcf@Run API testCmd_setNextTestType on core 1. Result: Passed@tcf
Test info from target: tcf@Run API ipcsTc_sysTs006PollingModeStart on core 0. Result: Passed@tcf
Test info from target: [SYS-ts07-unmanaged-channel-ping-pong-in-polling] test.
tcf@Run API ipcsTc_sysUnmngChanPingPongPolling on core 0. Result: Passed@tcf
delay 3 seconds ...
Test info from target:  Suspend polling thread, 0x35380550.
tcf@Run API ipcsTc_sysTs006PollingModeStop on core 0. Result: Passed@tcf
Test info from target: [TEST RESULT] -&gt;
[core id: 5][trace id: 0] [INSTANCE 2 -- CHANNEL 0 -- Current message number: 100 ]ping-pong test passed.
tcf@Run API testCmd_getTestResult on core 1. Result: Passed@tcf
Test info from target: [TEST RESULT] -&gt;
[core id: 4][trace id: 0] [INSTANCE 6 -- CHANNEL 0 -- Current message number: 101 ]ping-pong test passed.
tcf@Run API testCmd_getTestResult on core 0. Result: Passed@tcf
*
*
*
*</t>
    <phoneticPr fontId="34" type="noConversion"/>
  </si>
  <si>
    <t>Test info from target:  -- parameter 0tcf@Run API testCmd_setTestPhaseFlag on core 0. Result: Passed@tcf
Test info from target:  -- parameter 0tcf@Run API testCmd_setTestPhaseFlag on core 1. Result: Passed@tcf
Test info from target:  -- parameter 2tcf@Run API testCmd_setNextTestType on core 0. Result: Passed@tcf
Test info from target:  -- parameter 2tcf@Run API testCmd_setNextTestType on core 1. Result: Passed@tcf
Test info from target: [SYS-ts00-burst-transmission] test.
tcf@Run API ipcsTc_sysBurstScen02 on core 0. Result: Passed@tcf
Waiting 3 seconds ...
Test info from target: [TEST RESULT] -&gt;
tcf@Run API testCmd_getTestResult on core 1. Result: Passed@tcf
Test info from target: [TEST RESULT] -&gt;
[core id: 4][trace id: 0] [INSTANCE 3 -- CHANNEL 1 -- SIZE: 16 ] message header is: ######IP
[core id: 4][trace id: 1] [INSTANCE 3 -- CHANNEL 2 -- SIZE: 256 ] message header is: ######IPCS test
[core id: 4][trace id: 2] [INSTANCE 3 -- CHANNEL 1 -- SIZE: 16 ] message header is: ######IP
[core id: 4][trace id: 3] [INSTANCE 3 -- CHANNEL 3 -- SIZE: 4096 ] message header is: ######IPCS test
[core id: 4][trace id: 4] [INSTANCE 3 -- CHANNEL 2 -- SIZE: 256 ] message header is: ######IPCS test
[core id: 4][trace id: 5] [INSTANCE 3 -- CHANNEL 3 -- SIZE: 4096 ] message header is: ######IPCS test
[core id: 4][trace id: 6] [INSTANCE 3 -- CHANNEL 1 -- SIZE: 16 ] message header is: ######IP
[core id: 4][trace id: 7] [INSTANCE 3 -- CHANNEL 2 -- SIZE: 256 ] message header is: ######IPCS test
[core id: 4][trace id: 8] [INSTANCE 3 -- CHANNEL 1 -- SIZE: 16 ] message header is: ######IP
[core id: 4][trace id: 9] [INSTANCE 3 -- CHANNEL 3 -- SIZE: 4096 ] message header is: ######IPCS test
[core id: 4][trace id: 10] [INSTANCE 3 -- CHANNEL 2 -- SIZE: 256 ] message header is: ######IPCS test
[core id: 4][trace id: 11] [INSTANCE 3 -- CHANNEL 3 -- SIZE: 4096 ] message header is: ######IPCS test
[core id: 4][trace id: 12] [INSTANCE 3 -- CHANNEL 1 -- SIZE: 16 ] message header is: ######IP
[core id: 4][trace id: 13] [INSTANCE 3 -- CHANNEL 2 -- SIZE: 256 ] message header is: ######IPCS test
[core id: 4][trace id: 14] [INSTANCE 3 -- CHANNEL 3 -- SIZE: 4096 ] message header is: ######IPCS test
[core id: 4][trace id: 15] [INSTANCE 3 -- CHANNEL 1 -- SIZE: 16 ] message header is: ######IP
[core id: 4][trace id: 16] [INSTANCE 3 -- CHANNEL 1 -- SIZE: 16 ] message header is: ######IP
[core id: 4][trace id: 17] [INSTANCE 3 -- CHANNEL 2 -- SIZE: 16 ] message header is: ######IP
[core id: 4][trace id: 18] [INSTANCE 3 -- CHANNEL 3 -- SIZE: 16 ] message header is: ######IP
[core id: 4][trace id: 19] [INSTANCE 3 -- CHANNEL 2 -- SIZE: 16 ] message header is: ######IP
[core id: 4][trace id: 20] [INSTANCE 3 -- CHANNEL 1 -- SIZE: 16 ] message header is: ######IP
[core id: 4][trace id: 21] [INSTANCE 3 -- CHANNEL 3 -- SIZE: 16 ] message header is: ######IP
[core id: 4][trace id: 22] [INSTANCE 3 -- CHANNEL 2 -- SIZE: 16 ] message header is: ######IP
[core id: 4][trace id: 23] [INSTANCE 3 -- CHANNEL 1 -- SIZE: 16 ] message header is: ######IP
[core id: 4][trace id: 24] [INSTANCE 3 -- CHANNEL 2 -- SIZE: 16 ] message header is: ######IP
[core id: 4][trace id: 25] [INSTANCE 3 -- CHANNEL 3 -- SIZE: 16 ] message header is: ######IP
[core id: 4][trace id: 26] [INSTANCE 3 -- CHANNEL 1 -- SIZE: 16 ] message header is: ######IP
[core id: 4][trace id: 27] [INSTANCE 3 -- CHANNEL 3 -- SIZE: 16 ] message header is: ######IP
[core id: 4][trace id: 28] [INSTANCE 3 -- CHANNEL 2 -- SIZE: 16 ] message header is: ######IP
[core id: 4][trace id: 29] [INSTANCE 3 -- CHANNEL 3 -- SIZE: 16 ] message header is: ######IP
[core id: 4][trace id: 30] [INSTANCE 3 -- CHANNEL 1 -- SIZE: 256 ] message header is: ######IPCS test
[core id: 4][trace id: 31] [INSTANCE 3 -- CHANNEL 2 -- SIZE: 256 ] message header is: ######IPCS test
[core id: 4][trace id: 32] [INSTANCE 3 -- CHANNEL 1 -- SIZE: 256 ] message header is: ######IPCS test
[core id: 4][trace id: 33] [INSTANCE 3 -- CHANNEL 3 -- SIZE: 4096 ] message header is: ######IPCS test
[core id: 4][trace id: 34] [INSTANCE 3 -- CHANNEL 2 -- SIZE: 256 ] message header is: ######IPCS test
[core id: 4][trace id: 35] [INSTANCE 3 -- CHANNEL 3 -- SIZE: 4096 ] message header is: ######IPCS test
[core id: 4][trace id: 36] [INSTANCE 3 -- CHANNEL 1 -- SIZE: 256 ] message header is: ######IPCS test
[core id: 4][trace id: 37] [INSTANCE 3 -- CHANNEL 2 -- SIZE: 256 ] message header is: ######IPCS test
[core id: 4][trace id: 38] [INSTANCE 3 -- CHANNEL 1 -- SIZE: 256 ] message header is: ######IPCS test
[core id: 4][trace id: 39] [INSTANCE 3 -- CHANNEL 3 -- SIZE: 4096 ] message header is: ######IPCS test
[core id: 4][trace id: 40] [INSTANCE 3 -- CHANNEL 2 -- SIZE: 256 ] message header is: ######IPCS test
[core id: 4][trace id: 41] [INSTANCE 3 -- CHANNEL 1 -- SIZE: 256 ] message header is: ######IPCS test
[core id: 4][trace id: 42] [INSTANCE 3 -- CHANNEL 3 -- SIZE: 4096 ] message header is: ######IPCS test
[core id: 4][trace id: 43] [INSTANCE 3 -- CHANNEL 2 -- SIZE: 256 ] message header is: ######IPCS test
[core id: 4][trace id: 44] [INSTANCE 3 -- CHANNEL 3 -- SIZE: 4096 ] message header is: ######IPCS test
tcf@Run API testCmd_getTestResult on core 0. Result: Passed@tcf
*
*</t>
    <phoneticPr fontId="34" type="noConversion"/>
  </si>
  <si>
    <t>Test info from target:  -- parameter 4tcf@Run API testCmd_setTestPhaseFlag on core 0. Result: Passed@tcf
Test info from target:  -- parameter 4tcf@Run API testCmd_setTestPhaseFlag on core 1. Result: Passed@tcf
Test info from target: tcf@Run API testCmd_resetTestMngr on core 0. Result: Passed@tcf
Test info from target: tcf@Run API testCmd_resetTestMngr on core 1. Result: Passed@tcf
-- Trigger testing and waiting (700, 256) seconds ...
-- parameter 700, 256
[Performance test suite tc03] test.
Test info from target:  -- parameter 700, 256
[Performance test suite tc03] test.
tcf@Run API ipcsTc_perfTsBurstHalfduplexR2L on core 0. Result: Passed@tcf
Test info from target:  -- parameter 3List the instance 892355116 ring buffer info:
-- Push ring buffer: W:  63, R: 149.
-- Pop  ring buffer: W: 148, R:  64.
-- Push ring buffer: W:  10, R:   3.
-- Pop  ring buffer: W:   2, R:   0.
-- Push ring buffer: W:   5, R:   5.
-- Pop  ring buffer: W:   4,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tcf@Run API ipcsTc_commonCheckRingBuffer on core 0. Result: Passed@tcf
================================================================================
Performance test result info:
Test info from target: [TEST RESULT] -&gt;
[core id: 5][trace id: 0]
[Remote core burst performance testing result] -time start:-697398292, stop: -625998292 -buffer count:179200, throughput in buffer per second:2509.803955.
tcf@Run API testCmd_getTestResult on core 1. Result: Passed@tcf
================================================================================</t>
    <phoneticPr fontId="34" type="noConversion"/>
  </si>
  <si>
    <t>Test info from target:  -- parameter 3tcf@Run API testCmd_setTestPhaseFlag on core 0. Result: Passed@tcf
Test info from target:  -- parameter 3tcf@Run API testCmd_setTestPhaseFlag on core 1. Result: Passed@tcf
Test info from target: tcf@Run API testCmd_resetTestMngr on core 0. Result: Passed@tcf
Test info from target: tcf@Run API testCmd_resetTestMngr on core 1. Result: Passed@tcf
-- Trigger testing and waiting 20 seconds ...
Test info from target:  -- parameter 20
[Performance test suite tc01] test.
[Local core performance testing result[Maximum delay: 0] ] -time start:-1739304292, stop: -1719304189 -buffer count:94, throughput in buffer per second:4.700000.
tcf@Run API ipcsTc_perfTsFullduplexTrigger on core 0. Result: Passed@tcf
Test info from target:  -- parameter 3List the instance 892355116 ring buffer info:
-- Push ring buffer: W: 250, R: 186.
-- Pop  ring buffer: W: 185, R: 251.
-- Push ring buffer: W:  10, R:  10.
-- Pop  ring buffer: W:   9, R:   0.
-- Push ring buffer: W:   5, R:   0.
-- Pop  ring buffer: W:   5, R:   0.
-- Push ring buffer: W:   4, R: 151.
-- Pop  ring buffer: W: 150, R:   5.
-- Push ring buffer: W:   4, R:   4.
-- Pop  ring buffer: W:   3, R:   5.
-- Push ring buffer: W:   5, R:   0.
-- Pop  ring buffer: W:   5, R:   0.
-- Push ring buffer: W:   4, R:  38.
-- Pop  ring buffer: W:  37, R:   5.
-- Push ring buffer: W:   5, R:   5.
-- Pop  ring buffer: W:   4, R:   6.
-- Push ring buffer: W:   3, R:   4.
-- Pop  ring buffer: W:   3, R:   4.
sed@tcf
PI ipcsTc_commonCheckRingBuffer on core 0. Result: Pas   [ Crea
ERROR: response failed.
Release buffer error occured.</t>
    <phoneticPr fontId="34" type="noConversion"/>
  </si>
  <si>
    <t>未测试</t>
    <phoneticPr fontId="3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</si>
</sst>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d/mmm/yy;@"/>
    <numFmt numFmtId="177" formatCode="0.0%"/>
  </numFmts>
  <fonts count="42">
    <font>
      <sz val="10"/>
      <name val="Arial"/>
      <charset val="134"/>
    </font>
    <font>
      <sz val="11"/>
      <color theme="1"/>
      <name val="宋体"/>
      <family val="3"/>
      <charset val="134"/>
      <scheme val="minor"/>
    </font>
    <font>
      <b/>
      <sz val="11"/>
      <color theme="1"/>
      <name val="Times New Roman"/>
      <family val="1"/>
    </font>
    <font>
      <sz val="11"/>
      <name val="Times New Roman"/>
      <family val="1"/>
    </font>
    <font>
      <sz val="11"/>
      <name val="宋体"/>
      <family val="3"/>
      <charset val="134"/>
    </font>
    <font>
      <sz val="12"/>
      <name val="Times New Roman"/>
      <family val="1"/>
    </font>
    <font>
      <sz val="10"/>
      <color rgb="FF000000"/>
      <name val="Arial"/>
      <family val="2"/>
    </font>
    <font>
      <b/>
      <sz val="10"/>
      <color rgb="FF000000"/>
      <name val="Arial"/>
      <family val="2"/>
    </font>
    <font>
      <sz val="10"/>
      <color rgb="FF000000"/>
      <name val="宋体"/>
      <family val="3"/>
      <charset val="134"/>
    </font>
    <font>
      <sz val="10"/>
      <color rgb="FF0000FF"/>
      <name val="Arial"/>
      <family val="2"/>
    </font>
    <font>
      <sz val="11"/>
      <color rgb="FF000000"/>
      <name val="Arial"/>
      <family val="2"/>
    </font>
    <font>
      <sz val="10.5"/>
      <name val="等线"/>
      <family val="3"/>
      <charset val="134"/>
    </font>
    <font>
      <b/>
      <sz val="16"/>
      <name val="等线 Light"/>
      <family val="3"/>
      <charset val="134"/>
    </font>
    <font>
      <b/>
      <sz val="10.5"/>
      <color rgb="FFFFFFFF"/>
      <name val="等线"/>
      <family val="3"/>
      <charset val="134"/>
    </font>
    <font>
      <sz val="10.5"/>
      <color rgb="FF000000"/>
      <name val="等线"/>
      <family val="3"/>
      <charset val="134"/>
    </font>
    <font>
      <b/>
      <sz val="10.5"/>
      <color rgb="FF000000"/>
      <name val="等线"/>
      <family val="3"/>
      <charset val="134"/>
    </font>
    <font>
      <b/>
      <sz val="10.5"/>
      <name val="等线"/>
      <family val="3"/>
      <charset val="134"/>
    </font>
    <font>
      <b/>
      <sz val="10"/>
      <name val="等线"/>
      <family val="3"/>
      <charset val="134"/>
    </font>
    <font>
      <sz val="10"/>
      <name val="宋体"/>
      <family val="3"/>
      <charset val="134"/>
    </font>
    <font>
      <b/>
      <sz val="10"/>
      <color rgb="FF000000"/>
      <name val="等线"/>
      <family val="3"/>
      <charset val="134"/>
    </font>
    <font>
      <sz val="10"/>
      <color rgb="FF000000"/>
      <name val="等线"/>
      <family val="3"/>
      <charset val="134"/>
    </font>
    <font>
      <sz val="11"/>
      <color rgb="FF000000"/>
      <name val="宋体"/>
      <family val="3"/>
      <charset val="134"/>
    </font>
    <font>
      <sz val="11"/>
      <color rgb="FF000000"/>
      <name val="等线"/>
      <family val="3"/>
      <charset val="134"/>
    </font>
    <font>
      <b/>
      <sz val="12"/>
      <name val="Times New Roman"/>
      <family val="1"/>
    </font>
    <font>
      <sz val="10"/>
      <name val="Times New Roman"/>
      <family val="1"/>
    </font>
    <font>
      <sz val="12"/>
      <color rgb="FF000000"/>
      <name val="Times New Roman"/>
      <family val="1"/>
    </font>
    <font>
      <b/>
      <sz val="20"/>
      <color rgb="FF000000"/>
      <name val="Arial"/>
      <family val="2"/>
    </font>
    <font>
      <b/>
      <i/>
      <sz val="20"/>
      <color rgb="FF000000"/>
      <name val="Arial"/>
      <family val="2"/>
    </font>
    <font>
      <sz val="12"/>
      <color rgb="FF000000"/>
      <name val="Arial"/>
      <family val="2"/>
    </font>
    <font>
      <sz val="9"/>
      <color rgb="FF000000"/>
      <name val="Times New Roman"/>
      <family val="1"/>
    </font>
    <font>
      <sz val="9"/>
      <name val="Times New Roman"/>
      <family val="1"/>
    </font>
    <font>
      <sz val="10"/>
      <name val="ＭＳ Ｐ明朝"/>
      <charset val="128"/>
    </font>
    <font>
      <sz val="11"/>
      <name val="ＭＳ Ｐゴシック"/>
      <charset val="134"/>
    </font>
    <font>
      <sz val="10"/>
      <name val="Arial"/>
      <family val="2"/>
    </font>
    <font>
      <sz val="9"/>
      <name val="Arial"/>
      <family val="2"/>
    </font>
    <font>
      <b/>
      <sz val="12"/>
      <name val="Arial"/>
      <family val="3"/>
      <charset val="134"/>
    </font>
    <font>
      <b/>
      <sz val="14"/>
      <name val="等线 Light"/>
      <family val="3"/>
      <charset val="134"/>
    </font>
    <font>
      <b/>
      <sz val="11"/>
      <color theme="1"/>
      <name val="等线"/>
      <family val="3"/>
      <charset val="134"/>
    </font>
    <font>
      <b/>
      <sz val="11"/>
      <color theme="1"/>
      <name val="Arial"/>
      <family val="2"/>
    </font>
    <font>
      <sz val="11"/>
      <color rgb="FF000000"/>
      <name val="宋体"/>
      <family val="3"/>
      <charset val="134"/>
      <scheme val="minor"/>
    </font>
    <font>
      <sz val="10"/>
      <color rgb="FF000000"/>
      <name val="宋体"/>
      <family val="3"/>
      <charset val="134"/>
      <scheme val="minor"/>
    </font>
    <font>
      <sz val="10"/>
      <color rgb="FF000000"/>
      <name val="Arial"/>
      <family val="2"/>
      <charset val="134"/>
    </font>
  </fonts>
  <fills count="11">
    <fill>
      <patternFill patternType="none"/>
    </fill>
    <fill>
      <patternFill patternType="gray125"/>
    </fill>
    <fill>
      <patternFill patternType="solid">
        <fgColor theme="0" tint="-4.9989318521683403E-2"/>
        <bgColor indexed="64"/>
      </patternFill>
    </fill>
    <fill>
      <patternFill patternType="solid">
        <fgColor indexed="9"/>
        <bgColor indexed="64"/>
      </patternFill>
    </fill>
    <fill>
      <patternFill patternType="solid">
        <fgColor rgb="FFD9D9D9"/>
        <bgColor indexed="64"/>
      </patternFill>
    </fill>
    <fill>
      <patternFill patternType="solid">
        <fgColor rgb="FFFFFF00"/>
        <bgColor indexed="64"/>
      </patternFill>
    </fill>
    <fill>
      <patternFill patternType="solid">
        <fgColor rgb="FF5B9BD5"/>
        <bgColor indexed="64"/>
      </patternFill>
    </fill>
    <fill>
      <patternFill patternType="solid">
        <fgColor theme="0"/>
        <bgColor indexed="64"/>
      </patternFill>
    </fill>
    <fill>
      <patternFill patternType="solid">
        <fgColor theme="0"/>
        <bgColor indexed="64"/>
      </patternFill>
    </fill>
    <fill>
      <patternFill patternType="solid">
        <fgColor rgb="FFDEEAF6"/>
        <bgColor indexed="64"/>
      </patternFill>
    </fill>
    <fill>
      <patternFill patternType="solid">
        <fgColor rgb="FFF2F2F2"/>
        <bgColor indexed="64"/>
      </patternFill>
    </fill>
  </fills>
  <borders count="79">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5B9BD5"/>
      </left>
      <right/>
      <top style="medium">
        <color rgb="FF5B9BD5"/>
      </top>
      <bottom style="medium">
        <color rgb="FF5B9BD5"/>
      </bottom>
      <diagonal/>
    </border>
    <border>
      <left/>
      <right/>
      <top style="medium">
        <color rgb="FF5B9BD5"/>
      </top>
      <bottom style="medium">
        <color rgb="FF5B9BD5"/>
      </bottom>
      <diagonal/>
    </border>
    <border>
      <left/>
      <right style="medium">
        <color rgb="FF5B9BD5"/>
      </right>
      <top style="medium">
        <color rgb="FF5B9BD5"/>
      </top>
      <bottom style="medium">
        <color rgb="FF5B9BD5"/>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right/>
      <top/>
      <bottom style="medium">
        <color rgb="FF9CC2E5"/>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medium">
        <color auto="1"/>
      </left>
      <right/>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right/>
      <top/>
      <bottom style="medium">
        <color rgb="FF5B9BD5"/>
      </bottom>
      <diagonal/>
    </border>
    <border>
      <left style="thin">
        <color rgb="FF000000"/>
      </left>
      <right style="thin">
        <color rgb="FF000000"/>
      </right>
      <top style="thin">
        <color auto="1"/>
      </top>
      <bottom style="hair">
        <color auto="1"/>
      </bottom>
      <diagonal/>
    </border>
    <border>
      <left style="thin">
        <color auto="1"/>
      </left>
      <right style="medium">
        <color auto="1"/>
      </right>
      <top style="thin">
        <color auto="1"/>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rgb="FF000000"/>
      </left>
      <right style="thin">
        <color rgb="FF000000"/>
      </right>
      <top style="thin">
        <color rgb="FF000000"/>
      </top>
      <bottom style="medium">
        <color indexed="64"/>
      </bottom>
      <diagonal/>
    </border>
    <border>
      <left style="thin">
        <color auto="1"/>
      </left>
      <right style="medium">
        <color indexed="64"/>
      </right>
      <top style="thin">
        <color auto="1"/>
      </top>
      <bottom style="medium">
        <color indexed="64"/>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rgb="FF000000"/>
      </left>
      <right style="medium">
        <color indexed="64"/>
      </right>
      <top style="thin">
        <color rgb="FF000000"/>
      </top>
      <bottom style="medium">
        <color indexed="64"/>
      </bottom>
      <diagonal/>
    </border>
    <border>
      <left style="thin">
        <color indexed="64"/>
      </left>
      <right style="thin">
        <color rgb="FF000000"/>
      </right>
      <top style="medium">
        <color indexed="64"/>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rgb="FF000000"/>
      </right>
      <top style="thin">
        <color rgb="FF000000"/>
      </top>
      <bottom style="medium">
        <color indexed="64"/>
      </bottom>
      <diagonal/>
    </border>
    <border>
      <left/>
      <right/>
      <top style="medium">
        <color indexed="64"/>
      </top>
      <bottom/>
      <diagonal/>
    </border>
    <border>
      <left/>
      <right style="medium">
        <color indexed="64"/>
      </right>
      <top style="medium">
        <color indexed="64"/>
      </top>
      <bottom/>
      <diagonal/>
    </border>
    <border>
      <left/>
      <right style="thin">
        <color rgb="FF000000"/>
      </right>
      <top style="thin">
        <color rgb="FF000000"/>
      </top>
      <bottom style="medium">
        <color indexed="64"/>
      </bottom>
      <diagonal/>
    </border>
    <border>
      <left/>
      <right style="medium">
        <color auto="1"/>
      </right>
      <top style="hair">
        <color auto="1"/>
      </top>
      <bottom style="hair">
        <color auto="1"/>
      </bottom>
      <diagonal/>
    </border>
    <border>
      <left style="medium">
        <color auto="1"/>
      </left>
      <right style="medium">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hair">
        <color auto="1"/>
      </bottom>
      <diagonal/>
    </border>
    <border>
      <left/>
      <right style="thin">
        <color rgb="FF000000"/>
      </right>
      <top style="thin">
        <color auto="1"/>
      </top>
      <bottom style="hair">
        <color auto="1"/>
      </bottom>
      <diagonal/>
    </border>
    <border>
      <left/>
      <right style="thin">
        <color auto="1"/>
      </right>
      <top style="hair">
        <color auto="1"/>
      </top>
      <bottom style="hair">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style="medium">
        <color indexed="64"/>
      </left>
      <right style="medium">
        <color indexed="64"/>
      </right>
      <top style="medium">
        <color indexed="64"/>
      </top>
      <bottom style="thin">
        <color auto="1"/>
      </bottom>
      <diagonal/>
    </border>
    <border>
      <left/>
      <right/>
      <top style="thin">
        <color rgb="FF000000"/>
      </top>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s>
  <cellStyleXfs count="20">
    <xf numFmtId="0" fontId="0"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176" fontId="1" fillId="0" borderId="0"/>
    <xf numFmtId="0" fontId="33" fillId="0" borderId="0"/>
    <xf numFmtId="0" fontId="33" fillId="0" borderId="0"/>
    <xf numFmtId="0" fontId="1" fillId="0" borderId="0"/>
    <xf numFmtId="0" fontId="33" fillId="0" borderId="0"/>
    <xf numFmtId="0" fontId="31" fillId="0" borderId="0"/>
    <xf numFmtId="0" fontId="1" fillId="0" borderId="0"/>
    <xf numFmtId="176" fontId="33" fillId="0" borderId="0"/>
    <xf numFmtId="0" fontId="32" fillId="0" borderId="0">
      <alignment vertical="center"/>
    </xf>
    <xf numFmtId="176" fontId="1" fillId="0" borderId="0"/>
    <xf numFmtId="176" fontId="1" fillId="0" borderId="0">
      <alignment vertical="center"/>
    </xf>
  </cellStyleXfs>
  <cellXfs count="222">
    <xf numFmtId="0" fontId="0" fillId="0" borderId="0" xfId="0"/>
    <xf numFmtId="176" fontId="1" fillId="0" borderId="0" xfId="18"/>
    <xf numFmtId="0" fontId="2" fillId="2" borderId="1" xfId="17" applyFont="1" applyFill="1" applyBorder="1" applyAlignment="1">
      <alignment horizontal="center" vertical="center" wrapText="1"/>
    </xf>
    <xf numFmtId="0" fontId="3" fillId="0" borderId="2" xfId="17" applyFont="1" applyBorder="1" applyAlignment="1">
      <alignment horizontal="center" vertical="center"/>
    </xf>
    <xf numFmtId="0" fontId="4" fillId="0" borderId="3" xfId="17" applyFont="1" applyBorder="1" applyAlignment="1">
      <alignment horizontal="center" vertical="center"/>
    </xf>
    <xf numFmtId="14" fontId="3" fillId="0" borderId="3" xfId="17" applyNumberFormat="1" applyFont="1" applyBorder="1" applyAlignment="1">
      <alignment horizontal="center" vertical="center"/>
    </xf>
    <xf numFmtId="0" fontId="3" fillId="3" borderId="2" xfId="14" applyFont="1" applyFill="1" applyBorder="1" applyAlignment="1" applyProtection="1">
      <alignment horizontal="center" vertical="center"/>
      <protection hidden="1"/>
    </xf>
    <xf numFmtId="0" fontId="3" fillId="3" borderId="3" xfId="14" applyFont="1" applyFill="1" applyBorder="1" applyAlignment="1" applyProtection="1">
      <alignment vertical="top"/>
      <protection hidden="1"/>
    </xf>
    <xf numFmtId="0" fontId="3" fillId="0" borderId="3" xfId="17" applyFont="1" applyBorder="1">
      <alignment vertical="center"/>
    </xf>
    <xf numFmtId="0" fontId="3" fillId="0" borderId="2" xfId="17" applyFont="1" applyBorder="1">
      <alignment vertical="center"/>
    </xf>
    <xf numFmtId="0" fontId="3" fillId="3" borderId="2" xfId="14" applyFont="1" applyFill="1" applyBorder="1" applyAlignment="1" applyProtection="1">
      <alignment vertical="top"/>
      <protection hidden="1"/>
    </xf>
    <xf numFmtId="0" fontId="3" fillId="3" borderId="6" xfId="14" applyFont="1" applyFill="1" applyBorder="1" applyAlignment="1" applyProtection="1">
      <alignment vertical="top"/>
      <protection hidden="1"/>
    </xf>
    <xf numFmtId="0" fontId="3" fillId="3" borderId="7" xfId="14" applyFont="1" applyFill="1" applyBorder="1" applyAlignment="1" applyProtection="1">
      <alignment vertical="top"/>
      <protection hidden="1"/>
    </xf>
    <xf numFmtId="0" fontId="3" fillId="0" borderId="7" xfId="17" applyFont="1" applyBorder="1">
      <alignment vertical="center"/>
    </xf>
    <xf numFmtId="0" fontId="0" fillId="0" borderId="0" xfId="0" applyAlignment="1">
      <alignment wrapText="1"/>
    </xf>
    <xf numFmtId="0" fontId="6" fillId="0" borderId="0" xfId="0" applyFont="1"/>
    <xf numFmtId="49" fontId="7" fillId="4" borderId="9" xfId="0" applyNumberFormat="1" applyFont="1" applyFill="1" applyBorder="1" applyAlignment="1">
      <alignment horizontal="left" vertical="center" wrapText="1"/>
    </xf>
    <xf numFmtId="0" fontId="7" fillId="4" borderId="9" xfId="0" applyFont="1" applyFill="1" applyBorder="1" applyAlignment="1">
      <alignment horizontal="left" vertical="center"/>
    </xf>
    <xf numFmtId="0" fontId="6" fillId="5" borderId="8" xfId="0" applyFont="1" applyFill="1" applyBorder="1" applyAlignment="1">
      <alignment horizontal="center" vertical="center"/>
    </xf>
    <xf numFmtId="0" fontId="8" fillId="0" borderId="0" xfId="0" applyFont="1" applyAlignment="1">
      <alignment vertical="center" wrapText="1"/>
    </xf>
    <xf numFmtId="0" fontId="6" fillId="5" borderId="8" xfId="0" applyFont="1" applyFill="1" applyBorder="1"/>
    <xf numFmtId="49" fontId="6" fillId="0" borderId="0" xfId="0" applyNumberFormat="1" applyFont="1" applyAlignment="1">
      <alignment horizontal="left" vertical="center" wrapText="1"/>
    </xf>
    <xf numFmtId="0" fontId="7" fillId="4" borderId="9" xfId="0" applyFont="1" applyFill="1" applyBorder="1" applyAlignment="1">
      <alignment horizontal="left" vertical="center" wrapText="1"/>
    </xf>
    <xf numFmtId="0" fontId="8" fillId="0" borderId="0" xfId="0" applyFont="1" applyAlignment="1">
      <alignment wrapText="1"/>
    </xf>
    <xf numFmtId="0" fontId="6" fillId="0" borderId="0" xfId="0" applyFont="1" applyAlignment="1">
      <alignment wrapText="1"/>
    </xf>
    <xf numFmtId="0" fontId="7" fillId="4" borderId="10" xfId="0" applyFont="1" applyFill="1" applyBorder="1" applyAlignment="1">
      <alignment horizontal="center" vertical="center" wrapText="1"/>
    </xf>
    <xf numFmtId="0" fontId="7" fillId="4" borderId="11" xfId="0" applyFont="1" applyFill="1" applyBorder="1" applyAlignment="1">
      <alignment horizontal="center" vertical="center" wrapText="1"/>
    </xf>
    <xf numFmtId="0" fontId="6" fillId="0" borderId="13" xfId="0" applyFont="1" applyBorder="1" applyAlignment="1">
      <alignment horizontal="center" vertical="center" wrapText="1"/>
    </xf>
    <xf numFmtId="9" fontId="6" fillId="5" borderId="14" xfId="0" applyNumberFormat="1" applyFont="1" applyFill="1" applyBorder="1" applyAlignment="1">
      <alignment horizontal="center" vertical="center"/>
    </xf>
    <xf numFmtId="0" fontId="6" fillId="0" borderId="8" xfId="0" applyFont="1" applyBorder="1"/>
    <xf numFmtId="0" fontId="9" fillId="0" borderId="13" xfId="0" applyFont="1" applyBorder="1" applyAlignment="1">
      <alignment horizontal="center" vertical="center" wrapText="1"/>
    </xf>
    <xf numFmtId="0" fontId="9" fillId="0" borderId="8" xfId="0" applyFont="1" applyBorder="1" applyAlignment="1">
      <alignment horizontal="center" vertical="center"/>
    </xf>
    <xf numFmtId="9" fontId="9" fillId="0" borderId="14" xfId="0" applyNumberFormat="1" applyFont="1" applyBorder="1" applyAlignment="1">
      <alignment horizontal="center" vertical="center"/>
    </xf>
    <xf numFmtId="0" fontId="6" fillId="0" borderId="8"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wrapText="1"/>
    </xf>
    <xf numFmtId="0" fontId="6" fillId="0" borderId="16" xfId="0" applyFont="1" applyBorder="1"/>
    <xf numFmtId="0" fontId="6" fillId="0" borderId="17" xfId="0" applyFont="1" applyBorder="1"/>
    <xf numFmtId="0" fontId="7" fillId="4" borderId="11" xfId="0" applyFont="1" applyFill="1" applyBorder="1" applyAlignment="1">
      <alignment horizontal="center" vertical="center"/>
    </xf>
    <xf numFmtId="0" fontId="7" fillId="4" borderId="12" xfId="0" applyFont="1" applyFill="1" applyBorder="1" applyAlignment="1">
      <alignment horizontal="center" vertical="center" wrapText="1"/>
    </xf>
    <xf numFmtId="0" fontId="7" fillId="4" borderId="18" xfId="0" applyFont="1" applyFill="1" applyBorder="1" applyAlignment="1">
      <alignment horizontal="center" vertical="center" wrapText="1"/>
    </xf>
    <xf numFmtId="0" fontId="6" fillId="5" borderId="13" xfId="0" applyFont="1" applyFill="1" applyBorder="1" applyAlignment="1">
      <alignment wrapText="1"/>
    </xf>
    <xf numFmtId="0" fontId="6" fillId="5" borderId="14" xfId="0" applyFont="1" applyFill="1" applyBorder="1"/>
    <xf numFmtId="0" fontId="6" fillId="5" borderId="19" xfId="0" applyFont="1" applyFill="1" applyBorder="1"/>
    <xf numFmtId="0" fontId="6" fillId="0" borderId="13" xfId="0" applyFont="1" applyBorder="1" applyAlignment="1">
      <alignment wrapText="1"/>
    </xf>
    <xf numFmtId="0" fontId="6" fillId="0" borderId="14" xfId="0" applyFont="1" applyBorder="1"/>
    <xf numFmtId="0" fontId="6" fillId="0" borderId="19" xfId="0" applyFont="1" applyBorder="1"/>
    <xf numFmtId="0" fontId="6" fillId="0" borderId="20" xfId="0" applyFont="1" applyBorder="1"/>
    <xf numFmtId="0" fontId="6" fillId="0" borderId="0" xfId="0" applyFont="1" applyAlignment="1">
      <alignment horizontal="center" vertical="center" wrapText="1"/>
    </xf>
    <xf numFmtId="0" fontId="6" fillId="0" borderId="0" xfId="0" applyFont="1" applyAlignment="1">
      <alignment horizontal="center" vertical="center"/>
    </xf>
    <xf numFmtId="0" fontId="10" fillId="0" borderId="0" xfId="0" applyFont="1" applyAlignment="1">
      <alignment horizontal="center" vertical="center" wrapText="1"/>
    </xf>
    <xf numFmtId="0" fontId="0" fillId="0" borderId="0" xfId="0" applyAlignment="1">
      <alignment horizontal="left"/>
    </xf>
    <xf numFmtId="0" fontId="13" fillId="6" borderId="21"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3" fillId="6" borderId="23" xfId="0" applyFont="1" applyFill="1" applyBorder="1" applyAlignment="1">
      <alignment horizontal="center" vertical="center" wrapText="1"/>
    </xf>
    <xf numFmtId="0" fontId="14" fillId="0" borderId="0" xfId="0" applyFont="1" applyAlignment="1">
      <alignment horizontal="justify" vertical="center"/>
    </xf>
    <xf numFmtId="0" fontId="15" fillId="7" borderId="24" xfId="0" applyFont="1" applyFill="1" applyBorder="1" applyAlignment="1">
      <alignment horizontal="center" vertical="center" wrapText="1"/>
    </xf>
    <xf numFmtId="0" fontId="14" fillId="7" borderId="25" xfId="0" applyFont="1" applyFill="1" applyBorder="1" applyAlignment="1">
      <alignment horizontal="center" vertical="center" wrapText="1"/>
    </xf>
    <xf numFmtId="14" fontId="14" fillId="7" borderId="25" xfId="0" applyNumberFormat="1" applyFont="1" applyFill="1" applyBorder="1" applyAlignment="1">
      <alignment horizontal="center" vertical="center" wrapText="1"/>
    </xf>
    <xf numFmtId="0" fontId="14" fillId="0" borderId="0" xfId="0" applyFont="1" applyAlignment="1">
      <alignment horizontal="left" vertical="center" wrapText="1"/>
    </xf>
    <xf numFmtId="0" fontId="16" fillId="7" borderId="24" xfId="0" applyFont="1" applyFill="1" applyBorder="1" applyAlignment="1">
      <alignment horizontal="center" vertical="center" wrapText="1"/>
    </xf>
    <xf numFmtId="14" fontId="14" fillId="8" borderId="25" xfId="0" applyNumberFormat="1" applyFont="1" applyFill="1" applyBorder="1" applyAlignment="1">
      <alignment horizontal="center" vertical="center" wrapText="1"/>
    </xf>
    <xf numFmtId="0" fontId="0" fillId="5" borderId="0" xfId="0" applyFill="1"/>
    <xf numFmtId="0" fontId="11" fillId="0" borderId="0" xfId="0" applyFont="1" applyAlignment="1">
      <alignment horizontal="left" vertical="center"/>
    </xf>
    <xf numFmtId="0" fontId="18" fillId="0" borderId="0" xfId="0" applyFont="1" applyAlignment="1">
      <alignment horizontal="left"/>
    </xf>
    <xf numFmtId="0" fontId="19" fillId="6" borderId="21"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19" fillId="6" borderId="23" xfId="0" applyFont="1" applyFill="1" applyBorder="1" applyAlignment="1">
      <alignment horizontal="center" vertical="center" wrapText="1"/>
    </xf>
    <xf numFmtId="0" fontId="19" fillId="9" borderId="24" xfId="0" applyFont="1" applyFill="1" applyBorder="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horizontal="left" vertical="center"/>
    </xf>
    <xf numFmtId="0" fontId="22" fillId="7" borderId="1" xfId="0" applyFont="1" applyFill="1" applyBorder="1" applyAlignment="1">
      <alignment horizontal="center" vertical="center"/>
    </xf>
    <xf numFmtId="0" fontId="22" fillId="0" borderId="8" xfId="0" applyFont="1" applyBorder="1" applyAlignment="1">
      <alignment horizontal="left" vertical="center"/>
    </xf>
    <xf numFmtId="0" fontId="22" fillId="7" borderId="8" xfId="0" applyFont="1" applyFill="1" applyBorder="1" applyAlignment="1">
      <alignment horizontal="center" vertical="center"/>
    </xf>
    <xf numFmtId="0" fontId="22" fillId="0" borderId="8" xfId="0" applyFont="1" applyBorder="1" applyAlignment="1">
      <alignment horizontal="center" vertical="center"/>
    </xf>
    <xf numFmtId="0" fontId="4" fillId="3" borderId="2" xfId="14" applyFont="1" applyFill="1" applyBorder="1" applyAlignment="1" applyProtection="1">
      <alignment horizontal="center" vertical="top"/>
      <protection hidden="1"/>
    </xf>
    <xf numFmtId="0" fontId="4" fillId="3" borderId="3" xfId="14" applyFont="1" applyFill="1" applyBorder="1" applyAlignment="1" applyProtection="1">
      <alignment horizontal="center" vertical="top"/>
      <protection hidden="1"/>
    </xf>
    <xf numFmtId="0" fontId="4" fillId="0" borderId="2" xfId="17" applyFont="1" applyBorder="1" applyAlignment="1">
      <alignment horizontal="center" vertical="center"/>
    </xf>
    <xf numFmtId="0" fontId="4" fillId="3" borderId="6" xfId="14" applyFont="1" applyFill="1" applyBorder="1" applyAlignment="1" applyProtection="1">
      <alignment horizontal="center" vertical="top"/>
      <protection hidden="1"/>
    </xf>
    <xf numFmtId="0" fontId="4" fillId="3" borderId="7" xfId="14" applyFont="1" applyFill="1" applyBorder="1" applyAlignment="1" applyProtection="1">
      <alignment horizontal="center" vertical="top"/>
      <protection hidden="1"/>
    </xf>
    <xf numFmtId="0" fontId="4" fillId="0" borderId="7" xfId="17" applyFont="1" applyBorder="1" applyAlignment="1">
      <alignment horizontal="center" vertical="center"/>
    </xf>
    <xf numFmtId="0" fontId="23" fillId="3" borderId="29" xfId="14" applyFont="1" applyFill="1" applyBorder="1" applyAlignment="1" applyProtection="1">
      <alignment horizontal="center" vertical="top"/>
      <protection hidden="1"/>
    </xf>
    <xf numFmtId="0" fontId="23" fillId="3" borderId="0" xfId="14" applyFont="1" applyFill="1" applyAlignment="1" applyProtection="1">
      <alignment horizontal="center" vertical="top"/>
      <protection hidden="1"/>
    </xf>
    <xf numFmtId="0" fontId="5" fillId="0" borderId="0" xfId="14" applyFont="1" applyAlignment="1" applyProtection="1">
      <alignment vertical="top"/>
      <protection hidden="1"/>
    </xf>
    <xf numFmtId="0" fontId="5" fillId="0" borderId="30" xfId="14" applyFont="1" applyBorder="1" applyAlignment="1" applyProtection="1">
      <alignment vertical="top"/>
      <protection hidden="1"/>
    </xf>
    <xf numFmtId="0" fontId="24" fillId="3" borderId="29" xfId="14" applyFont="1" applyFill="1" applyBorder="1" applyAlignment="1" applyProtection="1">
      <alignment vertical="top"/>
      <protection hidden="1"/>
    </xf>
    <xf numFmtId="0" fontId="24" fillId="3" borderId="0" xfId="14" applyFont="1" applyFill="1" applyAlignment="1" applyProtection="1">
      <alignment vertical="top"/>
      <protection hidden="1"/>
    </xf>
    <xf numFmtId="0" fontId="5" fillId="3" borderId="29" xfId="14" applyFont="1" applyFill="1" applyBorder="1" applyAlignment="1" applyProtection="1">
      <alignment vertical="top"/>
      <protection hidden="1"/>
    </xf>
    <xf numFmtId="0" fontId="6" fillId="3" borderId="29" xfId="14" applyFont="1" applyFill="1" applyBorder="1" applyAlignment="1" applyProtection="1">
      <alignment vertical="top"/>
      <protection hidden="1"/>
    </xf>
    <xf numFmtId="0" fontId="6" fillId="3" borderId="0" xfId="14" applyFont="1" applyFill="1" applyAlignment="1" applyProtection="1">
      <alignment vertical="top"/>
      <protection hidden="1"/>
    </xf>
    <xf numFmtId="0" fontId="25" fillId="0" borderId="0" xfId="14" applyFont="1" applyAlignment="1" applyProtection="1">
      <alignment vertical="top"/>
      <protection hidden="1"/>
    </xf>
    <xf numFmtId="0" fontId="25" fillId="0" borderId="30" xfId="14" applyFont="1" applyBorder="1" applyAlignment="1" applyProtection="1">
      <alignment vertical="top"/>
      <protection hidden="1"/>
    </xf>
    <xf numFmtId="0" fontId="27" fillId="3" borderId="0" xfId="14" applyFont="1" applyFill="1" applyAlignment="1" applyProtection="1">
      <alignment horizontal="center" vertical="top"/>
      <protection hidden="1"/>
    </xf>
    <xf numFmtId="0" fontId="28" fillId="3" borderId="29" xfId="14" applyFont="1" applyFill="1" applyBorder="1" applyAlignment="1" applyProtection="1">
      <alignment vertical="top"/>
      <protection hidden="1"/>
    </xf>
    <xf numFmtId="0" fontId="28" fillId="3" borderId="0" xfId="14" applyFont="1" applyFill="1" applyAlignment="1" applyProtection="1">
      <alignment vertical="top"/>
      <protection hidden="1"/>
    </xf>
    <xf numFmtId="0" fontId="29" fillId="0" borderId="29" xfId="17" applyFont="1" applyBorder="1">
      <alignment vertical="center"/>
    </xf>
    <xf numFmtId="0" fontId="29" fillId="0" borderId="0" xfId="17" applyFont="1">
      <alignment vertical="center"/>
    </xf>
    <xf numFmtId="0" fontId="30" fillId="0" borderId="29" xfId="17" applyFont="1" applyBorder="1">
      <alignment vertical="center"/>
    </xf>
    <xf numFmtId="0" fontId="30" fillId="0" borderId="0" xfId="17" applyFont="1">
      <alignment vertical="center"/>
    </xf>
    <xf numFmtId="0" fontId="5" fillId="0" borderId="31" xfId="14" applyFont="1" applyBorder="1" applyAlignment="1" applyProtection="1">
      <alignment vertical="top"/>
      <protection hidden="1"/>
    </xf>
    <xf numFmtId="0" fontId="5" fillId="0" borderId="32" xfId="14" applyFont="1" applyBorder="1" applyAlignment="1" applyProtection="1">
      <alignment vertical="top"/>
      <protection hidden="1"/>
    </xf>
    <xf numFmtId="0" fontId="7" fillId="5" borderId="8" xfId="0" applyFont="1" applyFill="1" applyBorder="1" applyAlignment="1">
      <alignment horizontal="center" vertical="center"/>
    </xf>
    <xf numFmtId="0" fontId="37" fillId="0" borderId="1" xfId="0" applyFont="1" applyBorder="1" applyAlignment="1">
      <alignment horizontal="center" vertical="center"/>
    </xf>
    <xf numFmtId="0" fontId="37" fillId="0" borderId="38" xfId="0" applyFont="1" applyBorder="1" applyAlignment="1">
      <alignment horizontal="center" vertical="center"/>
    </xf>
    <xf numFmtId="0" fontId="37" fillId="0" borderId="35" xfId="0" applyFont="1" applyBorder="1" applyAlignment="1">
      <alignment horizontal="center" vertical="center"/>
    </xf>
    <xf numFmtId="0" fontId="22" fillId="0" borderId="38" xfId="0" applyFont="1" applyBorder="1" applyAlignment="1">
      <alignment horizontal="center" vertical="center"/>
    </xf>
    <xf numFmtId="0" fontId="22" fillId="0" borderId="35" xfId="0" applyFont="1" applyBorder="1" applyAlignment="1">
      <alignment horizontal="center" vertical="center"/>
    </xf>
    <xf numFmtId="0" fontId="22" fillId="0" borderId="39" xfId="0" applyFont="1" applyBorder="1" applyAlignment="1">
      <alignment horizontal="center" vertical="center"/>
    </xf>
    <xf numFmtId="0" fontId="22" fillId="0" borderId="40" xfId="0" applyFont="1" applyBorder="1" applyAlignment="1">
      <alignment horizontal="left" vertical="center"/>
    </xf>
    <xf numFmtId="0" fontId="22" fillId="0" borderId="40" xfId="0" applyFont="1" applyBorder="1" applyAlignment="1">
      <alignment horizontal="center" vertical="center"/>
    </xf>
    <xf numFmtId="0" fontId="22" fillId="0" borderId="41" xfId="0" applyFont="1" applyBorder="1" applyAlignment="1">
      <alignment horizontal="center" vertical="center"/>
    </xf>
    <xf numFmtId="14" fontId="6" fillId="5" borderId="8" xfId="0" applyNumberFormat="1" applyFont="1" applyFill="1" applyBorder="1" applyAlignment="1">
      <alignment horizontal="center" vertical="center"/>
    </xf>
    <xf numFmtId="0" fontId="7" fillId="4" borderId="42" xfId="0" applyFont="1" applyFill="1" applyBorder="1" applyAlignment="1">
      <alignment horizontal="center" vertical="center" wrapText="1"/>
    </xf>
    <xf numFmtId="0" fontId="6" fillId="0" borderId="44" xfId="0" applyFont="1" applyBorder="1"/>
    <xf numFmtId="0" fontId="6" fillId="0" borderId="45" xfId="0" applyFont="1" applyBorder="1"/>
    <xf numFmtId="0" fontId="7" fillId="4" borderId="46" xfId="0" applyFont="1" applyFill="1" applyBorder="1" applyAlignment="1">
      <alignment horizontal="center" vertical="center" wrapText="1"/>
    </xf>
    <xf numFmtId="9" fontId="6" fillId="0" borderId="47" xfId="0" applyNumberFormat="1" applyFont="1" applyBorder="1" applyAlignment="1">
      <alignment horizontal="center" vertical="center"/>
    </xf>
    <xf numFmtId="0" fontId="6" fillId="0" borderId="47" xfId="0" applyFont="1" applyBorder="1" applyAlignment="1">
      <alignment horizontal="center" vertical="center"/>
    </xf>
    <xf numFmtId="0" fontId="6" fillId="0" borderId="48" xfId="0" applyFont="1" applyBorder="1"/>
    <xf numFmtId="14" fontId="6" fillId="5" borderId="44" xfId="0" applyNumberFormat="1" applyFont="1" applyFill="1" applyBorder="1" applyAlignment="1">
      <alignment horizontal="center" vertical="center"/>
    </xf>
    <xf numFmtId="0" fontId="7" fillId="4" borderId="51" xfId="0" applyFont="1" applyFill="1" applyBorder="1" applyAlignment="1">
      <alignment horizontal="left" vertical="center" wrapText="1"/>
    </xf>
    <xf numFmtId="0" fontId="38" fillId="2" borderId="1" xfId="17" applyFont="1" applyFill="1" applyBorder="1" applyAlignment="1">
      <alignment horizontal="center" vertical="center" wrapText="1"/>
    </xf>
    <xf numFmtId="0" fontId="39" fillId="10" borderId="8" xfId="0" applyFont="1" applyFill="1" applyBorder="1" applyAlignment="1">
      <alignment horizontal="center" vertical="center" wrapText="1"/>
    </xf>
    <xf numFmtId="177" fontId="6" fillId="5" borderId="44" xfId="0" applyNumberFormat="1" applyFont="1" applyFill="1" applyBorder="1" applyAlignment="1">
      <alignment horizontal="center" vertical="center"/>
    </xf>
    <xf numFmtId="0" fontId="6" fillId="5" borderId="47" xfId="0" applyFont="1" applyFill="1" applyBorder="1" applyAlignment="1">
      <alignment horizontal="center" vertical="center"/>
    </xf>
    <xf numFmtId="0" fontId="5" fillId="0" borderId="0" xfId="0" applyFont="1" applyAlignment="1">
      <alignment horizontal="center"/>
    </xf>
    <xf numFmtId="0" fontId="6" fillId="0" borderId="0" xfId="0" applyFont="1" applyAlignment="1">
      <alignment horizontal="left" vertical="center"/>
    </xf>
    <xf numFmtId="14" fontId="10" fillId="5" borderId="28" xfId="0" applyNumberFormat="1" applyFont="1" applyFill="1" applyBorder="1" applyAlignment="1">
      <alignment horizontal="center" vertical="center"/>
    </xf>
    <xf numFmtId="0" fontId="10" fillId="5" borderId="27" xfId="0" applyFont="1" applyFill="1" applyBorder="1" applyAlignment="1">
      <alignment horizontal="center" vertical="center"/>
    </xf>
    <xf numFmtId="0" fontId="21" fillId="5" borderId="28" xfId="0" applyFont="1" applyFill="1" applyBorder="1" applyAlignment="1">
      <alignment horizontal="center" vertical="center"/>
    </xf>
    <xf numFmtId="0" fontId="10" fillId="5" borderId="28" xfId="0" applyFont="1" applyFill="1" applyBorder="1" applyAlignment="1">
      <alignment horizontal="center" vertical="center"/>
    </xf>
    <xf numFmtId="0" fontId="22" fillId="5" borderId="1" xfId="0" applyFont="1" applyFill="1" applyBorder="1" applyAlignment="1">
      <alignment horizontal="left" vertical="center"/>
    </xf>
    <xf numFmtId="0" fontId="22" fillId="5" borderId="1" xfId="0" applyFont="1" applyFill="1" applyBorder="1" applyAlignment="1">
      <alignment horizontal="center" vertical="center"/>
    </xf>
    <xf numFmtId="0" fontId="22" fillId="5" borderId="35" xfId="0" applyFont="1" applyFill="1" applyBorder="1" applyAlignment="1">
      <alignment horizontal="center" vertical="center"/>
    </xf>
    <xf numFmtId="0" fontId="17" fillId="5" borderId="0" xfId="0" applyFont="1" applyFill="1" applyAlignment="1">
      <alignment horizontal="center" vertical="center" wrapText="1"/>
    </xf>
    <xf numFmtId="0" fontId="13" fillId="5" borderId="0" xfId="0" applyFont="1" applyFill="1" applyAlignment="1">
      <alignment horizontal="center" vertical="center" wrapText="1"/>
    </xf>
    <xf numFmtId="0" fontId="14" fillId="5" borderId="0" xfId="0" applyFont="1" applyFill="1" applyAlignment="1">
      <alignment horizontal="center" vertical="center" wrapText="1"/>
    </xf>
    <xf numFmtId="0" fontId="17" fillId="0" borderId="0" xfId="0" applyFont="1" applyAlignment="1">
      <alignment horizontal="center" vertical="center" wrapText="1"/>
    </xf>
    <xf numFmtId="0" fontId="13" fillId="0" borderId="0" xfId="0" applyFont="1" applyAlignment="1">
      <alignment horizontal="center" vertical="center" wrapText="1"/>
    </xf>
    <xf numFmtId="0" fontId="0" fillId="5" borderId="0" xfId="0" applyFill="1" applyAlignment="1">
      <alignment horizontal="left"/>
    </xf>
    <xf numFmtId="0" fontId="12" fillId="0" borderId="0" xfId="0" applyFont="1" applyAlignment="1">
      <alignment vertical="center"/>
    </xf>
    <xf numFmtId="0" fontId="12" fillId="0" borderId="0" xfId="0" applyFont="1"/>
    <xf numFmtId="0" fontId="20" fillId="5" borderId="25" xfId="0" applyFont="1" applyFill="1" applyBorder="1" applyAlignment="1">
      <alignment horizontal="left" vertical="center"/>
    </xf>
    <xf numFmtId="0" fontId="41" fillId="0" borderId="0" xfId="0" applyFont="1" applyAlignment="1">
      <alignment horizontal="left" vertical="center"/>
    </xf>
    <xf numFmtId="0" fontId="15" fillId="8" borderId="24" xfId="0" applyFont="1" applyFill="1" applyBorder="1" applyAlignment="1">
      <alignment horizontal="center" vertical="center" wrapText="1"/>
    </xf>
    <xf numFmtId="0" fontId="14" fillId="8" borderId="25" xfId="0" applyFont="1" applyFill="1" applyBorder="1" applyAlignment="1">
      <alignment horizontal="center" vertical="center" wrapText="1"/>
    </xf>
    <xf numFmtId="0" fontId="16" fillId="8" borderId="24" xfId="0" applyFont="1" applyFill="1" applyBorder="1" applyAlignment="1">
      <alignment horizontal="center" vertical="center" wrapText="1"/>
    </xf>
    <xf numFmtId="0" fontId="6" fillId="0" borderId="0" xfId="0" applyFont="1" applyAlignment="1">
      <alignment horizontal="left" vertical="center" wrapText="1"/>
    </xf>
    <xf numFmtId="0" fontId="21" fillId="0" borderId="0" xfId="0" applyFont="1" applyAlignment="1">
      <alignment horizontal="left" vertical="center" wrapText="1"/>
    </xf>
    <xf numFmtId="0" fontId="4" fillId="0" borderId="1" xfId="0" applyFont="1" applyBorder="1" applyAlignment="1">
      <alignment vertical="top" wrapText="1"/>
    </xf>
    <xf numFmtId="0" fontId="33" fillId="0" borderId="0" xfId="0" applyFont="1" applyAlignment="1">
      <alignment wrapText="1"/>
    </xf>
    <xf numFmtId="0" fontId="40" fillId="0" borderId="0" xfId="0" applyFont="1" applyAlignment="1">
      <alignment horizontal="center" vertical="center" wrapText="1"/>
    </xf>
    <xf numFmtId="0" fontId="26" fillId="3" borderId="53" xfId="14" applyFont="1" applyFill="1" applyBorder="1" applyAlignment="1" applyProtection="1">
      <alignment horizontal="center" vertical="top"/>
      <protection hidden="1"/>
    </xf>
    <xf numFmtId="0" fontId="0" fillId="0" borderId="0" xfId="0" applyProtection="1">
      <protection hidden="1"/>
    </xf>
    <xf numFmtId="0" fontId="0" fillId="0" borderId="30" xfId="0" applyBorder="1" applyProtection="1">
      <protection hidden="1"/>
    </xf>
    <xf numFmtId="0" fontId="7" fillId="3" borderId="53" xfId="14" applyFont="1" applyFill="1" applyBorder="1" applyAlignment="1" applyProtection="1">
      <alignment horizontal="center" vertical="top"/>
      <protection hidden="1"/>
    </xf>
    <xf numFmtId="0" fontId="26" fillId="3" borderId="53" xfId="14" applyFont="1" applyFill="1" applyBorder="1" applyAlignment="1" applyProtection="1">
      <alignment horizontal="center" vertical="top" wrapText="1"/>
      <protection hidden="1"/>
    </xf>
    <xf numFmtId="0" fontId="0" fillId="0" borderId="29" xfId="0" applyBorder="1" applyProtection="1">
      <protection hidden="1"/>
    </xf>
    <xf numFmtId="0" fontId="38" fillId="2" borderId="1" xfId="17" applyFont="1" applyFill="1" applyBorder="1" applyAlignment="1">
      <alignment horizontal="center" vertical="center" wrapText="1"/>
    </xf>
    <xf numFmtId="0" fontId="0" fillId="0" borderId="56" xfId="0" applyBorder="1"/>
    <xf numFmtId="0" fontId="0" fillId="0" borderId="57" xfId="0" applyBorder="1"/>
    <xf numFmtId="0" fontId="4" fillId="0" borderId="3" xfId="17" applyFont="1" applyBorder="1" applyAlignment="1">
      <alignment horizontal="center"/>
    </xf>
    <xf numFmtId="0" fontId="0" fillId="0" borderId="4" xfId="0" applyBorder="1"/>
    <xf numFmtId="0" fontId="0" fillId="0" borderId="60" xfId="0" applyBorder="1"/>
    <xf numFmtId="0" fontId="4" fillId="0" borderId="7" xfId="17" applyFont="1" applyBorder="1" applyAlignment="1">
      <alignment horizontal="center"/>
    </xf>
    <xf numFmtId="0" fontId="0" fillId="0" borderId="61" xfId="0" applyBorder="1"/>
    <xf numFmtId="0" fontId="0" fillId="0" borderId="62" xfId="0" applyBorder="1"/>
    <xf numFmtId="0" fontId="10" fillId="5" borderId="34" xfId="0" applyFont="1" applyFill="1" applyBorder="1" applyAlignment="1">
      <alignment horizontal="center"/>
    </xf>
    <xf numFmtId="0" fontId="0" fillId="0" borderId="58" xfId="0" applyBorder="1"/>
    <xf numFmtId="0" fontId="0" fillId="0" borderId="59" xfId="0" applyBorder="1"/>
    <xf numFmtId="0" fontId="35" fillId="0" borderId="63" xfId="0" applyFont="1" applyBorder="1" applyAlignment="1">
      <alignment horizontal="center" vertical="center"/>
    </xf>
    <xf numFmtId="0" fontId="0" fillId="0" borderId="36" xfId="0" applyBorder="1"/>
    <xf numFmtId="0" fontId="0" fillId="0" borderId="37" xfId="0" applyBorder="1"/>
    <xf numFmtId="0" fontId="14" fillId="0" borderId="8" xfId="0" applyFont="1" applyBorder="1" applyAlignment="1">
      <alignment horizontal="left" vertical="top" wrapText="1"/>
    </xf>
    <xf numFmtId="0" fontId="0" fillId="0" borderId="64" xfId="0" applyBorder="1"/>
    <xf numFmtId="0" fontId="0" fillId="0" borderId="66" xfId="0" applyBorder="1"/>
    <xf numFmtId="0" fontId="0" fillId="0" borderId="65" xfId="0" applyBorder="1"/>
    <xf numFmtId="0" fontId="6" fillId="0" borderId="0" xfId="0" applyFont="1"/>
    <xf numFmtId="0" fontId="0" fillId="0" borderId="67" xfId="0" applyBorder="1"/>
    <xf numFmtId="0" fontId="0" fillId="0" borderId="68" xfId="0" applyBorder="1"/>
    <xf numFmtId="0" fontId="0" fillId="0" borderId="69" xfId="0" applyBorder="1"/>
    <xf numFmtId="0" fontId="0" fillId="0" borderId="70" xfId="0" applyBorder="1"/>
    <xf numFmtId="0" fontId="14" fillId="7" borderId="25" xfId="0" applyFont="1" applyFill="1" applyBorder="1" applyAlignment="1">
      <alignment horizontal="center" vertical="center" wrapText="1"/>
    </xf>
    <xf numFmtId="0" fontId="0" fillId="0" borderId="26" xfId="0" applyBorder="1"/>
    <xf numFmtId="0" fontId="0" fillId="0" borderId="25" xfId="0" applyBorder="1"/>
    <xf numFmtId="0" fontId="36" fillId="0" borderId="0" xfId="0" applyFont="1" applyAlignment="1">
      <alignment horizontal="left" vertical="center"/>
    </xf>
    <xf numFmtId="0" fontId="0" fillId="0" borderId="0" xfId="0"/>
    <xf numFmtId="0" fontId="13" fillId="6" borderId="22" xfId="0" applyFont="1" applyFill="1" applyBorder="1" applyAlignment="1">
      <alignment horizontal="center" vertical="center" wrapText="1"/>
    </xf>
    <xf numFmtId="0" fontId="0" fillId="0" borderId="22" xfId="0" applyBorder="1"/>
    <xf numFmtId="0" fontId="12" fillId="0" borderId="33" xfId="0" applyFont="1" applyBorder="1" applyAlignment="1">
      <alignment horizontal="left" vertical="top"/>
    </xf>
    <xf numFmtId="0" fontId="0" fillId="0" borderId="33" xfId="0" applyBorder="1"/>
    <xf numFmtId="0" fontId="11" fillId="0" borderId="1" xfId="0" applyFont="1" applyBorder="1" applyAlignment="1">
      <alignment horizontal="left" vertical="center" wrapText="1"/>
    </xf>
    <xf numFmtId="0" fontId="0" fillId="0" borderId="54" xfId="0" applyBorder="1"/>
    <xf numFmtId="0" fontId="0" fillId="0" borderId="55" xfId="0" applyBorder="1"/>
    <xf numFmtId="0" fontId="0" fillId="0" borderId="71" xfId="0" applyBorder="1"/>
    <xf numFmtId="0" fontId="0" fillId="0" borderId="72" xfId="0" applyBorder="1"/>
    <xf numFmtId="0" fontId="0" fillId="0" borderId="73" xfId="0" applyBorder="1"/>
    <xf numFmtId="0" fontId="0" fillId="0" borderId="74" xfId="0" applyBorder="1"/>
    <xf numFmtId="0" fontId="0" fillId="0" borderId="75" xfId="0" applyBorder="1"/>
    <xf numFmtId="0" fontId="12" fillId="0" borderId="33" xfId="0" applyFont="1" applyBorder="1" applyAlignment="1">
      <alignment horizontal="left" vertical="center"/>
    </xf>
    <xf numFmtId="0" fontId="7" fillId="5" borderId="8" xfId="0" applyFont="1" applyFill="1" applyBorder="1" applyAlignment="1">
      <alignment horizontal="center" vertical="center"/>
    </xf>
    <xf numFmtId="0" fontId="0" fillId="0" borderId="9" xfId="0" applyBorder="1"/>
    <xf numFmtId="0" fontId="7" fillId="5" borderId="40" xfId="0" applyFont="1" applyFill="1" applyBorder="1" applyAlignment="1">
      <alignment horizontal="center" vertical="center"/>
    </xf>
    <xf numFmtId="0" fontId="0" fillId="0" borderId="51" xfId="0" applyBorder="1"/>
    <xf numFmtId="49" fontId="7" fillId="4" borderId="76" xfId="0" applyNumberFormat="1" applyFont="1" applyFill="1" applyBorder="1" applyAlignment="1">
      <alignment horizontal="center" vertical="center"/>
    </xf>
    <xf numFmtId="0" fontId="0" fillId="0" borderId="49" xfId="0" applyBorder="1"/>
    <xf numFmtId="0" fontId="0" fillId="0" borderId="50" xfId="0" applyBorder="1"/>
    <xf numFmtId="0" fontId="6" fillId="5" borderId="8" xfId="0" applyFont="1" applyFill="1" applyBorder="1" applyAlignment="1">
      <alignment horizontal="center" vertical="center"/>
    </xf>
    <xf numFmtId="0" fontId="8" fillId="5" borderId="8" xfId="0" applyFont="1" applyFill="1" applyBorder="1" applyAlignment="1">
      <alignment horizontal="center" vertical="center"/>
    </xf>
    <xf numFmtId="0" fontId="7" fillId="4" borderId="43" xfId="0" applyFont="1" applyFill="1" applyBorder="1" applyAlignment="1">
      <alignment horizontal="center" vertical="center" wrapText="1"/>
    </xf>
    <xf numFmtId="0" fontId="0" fillId="0" borderId="77" xfId="0" applyBorder="1"/>
    <xf numFmtId="0" fontId="0" fillId="0" borderId="78" xfId="0" applyBorder="1"/>
    <xf numFmtId="49" fontId="7" fillId="4" borderId="43" xfId="0" applyNumberFormat="1" applyFont="1" applyFill="1" applyBorder="1" applyAlignment="1">
      <alignment horizontal="center" vertical="center" wrapText="1"/>
    </xf>
    <xf numFmtId="0" fontId="2" fillId="2" borderId="1" xfId="17" applyFont="1" applyFill="1" applyBorder="1" applyAlignment="1">
      <alignment horizontal="left" vertical="center" wrapText="1"/>
    </xf>
    <xf numFmtId="0" fontId="3" fillId="0" borderId="3" xfId="17" applyFont="1" applyBorder="1" applyAlignment="1">
      <alignment horizontal="center"/>
    </xf>
    <xf numFmtId="0" fontId="3" fillId="0" borderId="3" xfId="17" applyFont="1" applyBorder="1" applyAlignment="1">
      <alignment horizontal="center" vertical="center" wrapText="1"/>
    </xf>
    <xf numFmtId="0" fontId="3" fillId="0" borderId="5" xfId="17" applyFont="1" applyBorder="1" applyAlignment="1">
      <alignment horizontal="center" vertical="center"/>
    </xf>
    <xf numFmtId="0" fontId="0" fillId="0" borderId="52" xfId="0" applyBorder="1"/>
    <xf numFmtId="0" fontId="2" fillId="2" borderId="1" xfId="17" applyFont="1" applyFill="1" applyBorder="1" applyAlignment="1">
      <alignment horizontal="center" vertical="center" wrapText="1"/>
    </xf>
    <xf numFmtId="0" fontId="4" fillId="0" borderId="3" xfId="17" applyFont="1" applyBorder="1" applyAlignment="1">
      <alignment horizontal="center" vertical="center"/>
    </xf>
    <xf numFmtId="0" fontId="3" fillId="0" borderId="7" xfId="17" applyFont="1" applyBorder="1" applyAlignment="1">
      <alignment horizontal="center"/>
    </xf>
    <xf numFmtId="0" fontId="18" fillId="0" borderId="0" xfId="0" applyFont="1" applyAlignment="1">
      <alignment wrapText="1"/>
    </xf>
  </cellXfs>
  <cellStyles count="20">
    <cellStyle name="Normal 2" xfId="1" xr:uid="{00000000-0005-0000-0000-000001000000}"/>
    <cellStyle name="Normal 2 2" xfId="2" xr:uid="{00000000-0005-0000-0000-000002000000}"/>
    <cellStyle name="Normal 2 3" xfId="3" xr:uid="{00000000-0005-0000-0000-000003000000}"/>
    <cellStyle name="Normal 2 4" xfId="4" xr:uid="{00000000-0005-0000-0000-000004000000}"/>
    <cellStyle name="Normal 2 5" xfId="5" xr:uid="{00000000-0005-0000-0000-000005000000}"/>
    <cellStyle name="Normal 2 6" xfId="6" xr:uid="{00000000-0005-0000-0000-000006000000}"/>
    <cellStyle name="Normal 2 7" xfId="7" xr:uid="{00000000-0005-0000-0000-000007000000}"/>
    <cellStyle name="Normal 2 8" xfId="8" xr:uid="{00000000-0005-0000-0000-000008000000}"/>
    <cellStyle name="Normal 2 9" xfId="9" xr:uid="{00000000-0005-0000-0000-000009000000}"/>
    <cellStyle name="Normal 2_EcuM_MotorDriveOn" xfId="10" xr:uid="{00000000-0005-0000-0000-00000A000000}"/>
    <cellStyle name="Normal 3" xfId="11" xr:uid="{00000000-0005-0000-0000-00000B000000}"/>
    <cellStyle name="Normal 3 2" xfId="12" xr:uid="{00000000-0005-0000-0000-00000C000000}"/>
    <cellStyle name="Normal 4" xfId="13" xr:uid="{00000000-0005-0000-0000-00000D000000}"/>
    <cellStyle name="Normal_Soft development plan_IssB (Y20 Subwoofer) V2.0" xfId="14" xr:uid="{00000000-0005-0000-0000-00000E000000}"/>
    <cellStyle name="常规" xfId="0" builtinId="0"/>
    <cellStyle name="常规 2" xfId="15" xr:uid="{00000000-0005-0000-0000-00000F000000}"/>
    <cellStyle name="常规 2 2" xfId="16" xr:uid="{00000000-0005-0000-0000-000010000000}"/>
    <cellStyle name="常规 3" xfId="17" xr:uid="{00000000-0005-0000-0000-000011000000}"/>
    <cellStyle name="常规 4" xfId="18" xr:uid="{00000000-0005-0000-0000-000012000000}"/>
    <cellStyle name="常规 4 2" xfId="19" xr:uid="{00000000-0005-0000-0000-00001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tCER\Project\&#21151;&#33021;&#23433;&#20840;&#27169;&#26495;_20180731\&#27169;&#26495;-&#33521;&#25991;\Software\&#36719;&#20214;&#26550;&#26500;&#35780;&#23457;&#26816;&#26597;&#28165;&#2133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admin\Desktop\DFMEA_Audi_A6_Ke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hange History"/>
      <sheetName val="References"/>
      <sheetName val="Defect Log"/>
      <sheetName val="Checklist"/>
      <sheetName val="Summary"/>
      <sheetName val="Template Version"/>
    </sheetNames>
    <definedNames>
      <definedName name="___GoA1" sheetId="1"/>
      <definedName name="___GoA2" sheetId="1"/>
      <definedName name="__GoA1" sheetId="1"/>
      <definedName name="__GoA2" sheetId="1"/>
      <definedName name="_GoA1" sheetId="1"/>
      <definedName name="_GoA2" sheetId="1"/>
      <definedName name="Capture.Capture" sheetId="1"/>
      <definedName name="Capture1.Capture1" sheetId="1"/>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Control"/>
      <sheetName val="Block Template"/>
      <sheetName val="Team团队"/>
      <sheetName val="Research调研"/>
      <sheetName val="Block框图"/>
      <sheetName val="Inputs"/>
      <sheetName val="Outputs"/>
      <sheetName val="Matrix矩阵"/>
      <sheetName val="DFMEA"/>
      <sheetName val="Definition of Change Point's"/>
      <sheetName val="Judgment Words"/>
      <sheetName val="temp1"/>
      <sheetName val="temp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workbookViewId="0">
      <selection activeCell="A13" sqref="A13:G13"/>
    </sheetView>
  </sheetViews>
  <sheetFormatPr defaultColWidth="9" defaultRowHeight="13.2"/>
  <cols>
    <col min="7" max="7" width="18.21875" customWidth="1"/>
  </cols>
  <sheetData>
    <row r="1" spans="1:7" ht="15.6" customHeight="1">
      <c r="A1" s="81"/>
      <c r="B1" s="82"/>
      <c r="C1" s="82"/>
      <c r="D1" s="82"/>
      <c r="E1" s="83"/>
      <c r="F1" s="83"/>
      <c r="G1" s="84"/>
    </row>
    <row r="2" spans="1:7" ht="15.6" customHeight="1">
      <c r="A2" s="85"/>
      <c r="B2" s="86"/>
      <c r="C2" s="86"/>
      <c r="D2" s="86"/>
      <c r="E2" s="83"/>
      <c r="F2" s="83"/>
      <c r="G2" s="84"/>
    </row>
    <row r="3" spans="1:7" ht="15.6" customHeight="1">
      <c r="A3" s="81"/>
      <c r="B3" s="82"/>
      <c r="C3" s="82"/>
      <c r="D3" s="82"/>
      <c r="E3" s="83"/>
      <c r="F3" s="83"/>
      <c r="G3" s="84"/>
    </row>
    <row r="4" spans="1:7" ht="15.6" customHeight="1">
      <c r="A4" s="85"/>
      <c r="B4" s="86"/>
      <c r="C4" s="86"/>
      <c r="D4" s="86"/>
      <c r="E4" s="83"/>
      <c r="F4" s="83"/>
      <c r="G4" s="84"/>
    </row>
    <row r="5" spans="1:7" ht="15.6" customHeight="1">
      <c r="A5" s="85"/>
      <c r="B5" s="86"/>
      <c r="C5" s="86"/>
      <c r="D5" s="86"/>
      <c r="E5" s="83"/>
      <c r="F5" s="83"/>
      <c r="G5" s="84"/>
    </row>
    <row r="6" spans="1:7" ht="15.6" customHeight="1">
      <c r="A6" s="85"/>
      <c r="B6" s="86"/>
      <c r="C6" s="86"/>
      <c r="D6" s="86"/>
      <c r="E6" s="83"/>
      <c r="F6" s="83"/>
      <c r="G6" s="84"/>
    </row>
    <row r="7" spans="1:7" ht="15.6" customHeight="1">
      <c r="A7" s="85"/>
      <c r="B7" s="86"/>
      <c r="C7" s="86"/>
      <c r="D7" s="86"/>
      <c r="E7" s="83"/>
      <c r="F7" s="83"/>
      <c r="G7" s="84"/>
    </row>
    <row r="8" spans="1:7" ht="15.6" customHeight="1">
      <c r="A8" s="87"/>
      <c r="B8" s="86"/>
      <c r="C8" s="86"/>
      <c r="D8" s="86"/>
      <c r="E8" s="83"/>
      <c r="F8" s="83"/>
      <c r="G8" s="84"/>
    </row>
    <row r="9" spans="1:7" ht="15.6" customHeight="1">
      <c r="A9" s="81"/>
      <c r="B9" s="82"/>
      <c r="C9" s="82"/>
      <c r="D9" s="82"/>
      <c r="E9" s="83"/>
      <c r="F9" s="83"/>
      <c r="G9" s="84"/>
    </row>
    <row r="10" spans="1:7" ht="15.6" customHeight="1">
      <c r="A10" s="88"/>
      <c r="B10" s="89"/>
      <c r="C10" s="89"/>
      <c r="D10" s="89"/>
      <c r="E10" s="90"/>
      <c r="F10" s="90"/>
      <c r="G10" s="91"/>
    </row>
    <row r="11" spans="1:7">
      <c r="A11" s="156" t="s">
        <v>0</v>
      </c>
      <c r="B11" s="153"/>
      <c r="C11" s="153"/>
      <c r="D11" s="153"/>
      <c r="E11" s="153"/>
      <c r="F11" s="153"/>
      <c r="G11" s="154"/>
    </row>
    <row r="12" spans="1:7" ht="37.799999999999997" customHeight="1">
      <c r="A12" s="157"/>
      <c r="B12" s="153"/>
      <c r="C12" s="153"/>
      <c r="D12" s="153"/>
      <c r="E12" s="153"/>
      <c r="F12" s="153"/>
      <c r="G12" s="154"/>
    </row>
    <row r="13" spans="1:7" ht="24.6" customHeight="1">
      <c r="A13" s="152" t="s">
        <v>1</v>
      </c>
      <c r="B13" s="153"/>
      <c r="C13" s="153"/>
      <c r="D13" s="153"/>
      <c r="E13" s="153"/>
      <c r="F13" s="153"/>
      <c r="G13" s="154"/>
    </row>
    <row r="14" spans="1:7" ht="24.6" customHeight="1">
      <c r="A14" s="88"/>
      <c r="B14" s="89"/>
      <c r="C14" s="89"/>
      <c r="D14" s="92"/>
      <c r="E14" s="90"/>
      <c r="F14" s="90"/>
      <c r="G14" s="91"/>
    </row>
    <row r="15" spans="1:7">
      <c r="A15" s="155" t="s">
        <v>2</v>
      </c>
      <c r="B15" s="153"/>
      <c r="C15" s="153"/>
      <c r="D15" s="153"/>
      <c r="E15" s="153"/>
      <c r="F15" s="153"/>
      <c r="G15" s="154"/>
    </row>
    <row r="16" spans="1:7">
      <c r="A16" s="155"/>
      <c r="B16" s="153"/>
      <c r="C16" s="153"/>
      <c r="D16" s="153"/>
      <c r="E16" s="153"/>
      <c r="F16" s="153"/>
      <c r="G16" s="154"/>
    </row>
    <row r="17" spans="1:7" ht="15.6" customHeight="1">
      <c r="A17" s="93"/>
      <c r="B17" s="94"/>
      <c r="C17" s="94"/>
      <c r="D17" s="94"/>
      <c r="E17" s="90"/>
      <c r="F17" s="90"/>
      <c r="G17" s="91"/>
    </row>
    <row r="18" spans="1:7" ht="15.6" customHeight="1">
      <c r="A18" s="95"/>
      <c r="B18" s="96"/>
      <c r="C18" s="96"/>
      <c r="D18" s="96"/>
      <c r="E18" s="96"/>
      <c r="F18" s="90"/>
      <c r="G18" s="91"/>
    </row>
    <row r="19" spans="1:7" ht="15.6" customHeight="1">
      <c r="A19" s="97"/>
      <c r="B19" s="98"/>
      <c r="C19" s="98"/>
      <c r="D19" s="98"/>
      <c r="E19" s="98"/>
      <c r="F19" s="83"/>
      <c r="G19" s="84"/>
    </row>
    <row r="20" spans="1:7" ht="15.6" customHeight="1">
      <c r="A20" s="97"/>
      <c r="B20" s="98"/>
      <c r="C20" s="98"/>
      <c r="D20" s="98"/>
      <c r="E20" s="98"/>
      <c r="F20" s="83"/>
      <c r="G20" s="84"/>
    </row>
    <row r="21" spans="1:7" ht="15.6" customHeight="1">
      <c r="A21" s="83"/>
      <c r="B21" s="83"/>
      <c r="C21" s="83"/>
      <c r="D21" s="83"/>
      <c r="E21" s="83"/>
      <c r="F21" s="83"/>
      <c r="G21" s="84"/>
    </row>
    <row r="22" spans="1:7" ht="15.6" customHeight="1">
      <c r="A22" s="83"/>
      <c r="B22" s="83"/>
      <c r="C22" s="83"/>
      <c r="D22" s="83"/>
      <c r="E22" s="83"/>
      <c r="F22" s="83"/>
      <c r="G22" s="84"/>
    </row>
    <row r="23" spans="1:7" ht="15.6" customHeight="1">
      <c r="A23" s="83"/>
      <c r="B23" s="83"/>
      <c r="C23" s="83"/>
      <c r="D23" s="83"/>
      <c r="E23" s="83"/>
      <c r="F23" s="83"/>
      <c r="G23" s="84"/>
    </row>
    <row r="24" spans="1:7" ht="15.6" customHeight="1">
      <c r="A24" s="83"/>
      <c r="B24" s="83"/>
      <c r="C24" s="83"/>
      <c r="D24" s="83"/>
      <c r="E24" s="83"/>
      <c r="F24" s="83"/>
      <c r="G24" s="84"/>
    </row>
    <row r="25" spans="1:7" ht="16.2" customHeight="1" thickBot="1">
      <c r="A25" s="99"/>
      <c r="B25" s="99"/>
      <c r="C25" s="99"/>
      <c r="D25" s="99"/>
      <c r="E25" s="99"/>
      <c r="F25" s="99"/>
      <c r="G25" s="100"/>
    </row>
  </sheetData>
  <mergeCells count="4">
    <mergeCell ref="A13:G13"/>
    <mergeCell ref="A16:G16"/>
    <mergeCell ref="A15:G15"/>
    <mergeCell ref="A11:G12"/>
  </mergeCells>
  <phoneticPr fontId="3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
  <sheetViews>
    <sheetView workbookViewId="0">
      <selection activeCell="E11" sqref="E11"/>
    </sheetView>
  </sheetViews>
  <sheetFormatPr defaultColWidth="9" defaultRowHeight="13.2"/>
  <cols>
    <col min="3" max="3" width="13.44140625" customWidth="1"/>
    <col min="4" max="4" width="11.5546875" customWidth="1"/>
  </cols>
  <sheetData>
    <row r="1" spans="1:8" ht="41.55" customHeight="1">
      <c r="A1" s="158" t="s">
        <v>3</v>
      </c>
      <c r="B1" s="159"/>
      <c r="C1" s="159"/>
      <c r="D1" s="159"/>
      <c r="E1" s="159"/>
      <c r="F1" s="159"/>
      <c r="G1" s="159"/>
      <c r="H1" s="160"/>
    </row>
    <row r="2" spans="1:8" ht="42" customHeight="1">
      <c r="A2" s="121" t="s">
        <v>4</v>
      </c>
      <c r="B2" s="121" t="s">
        <v>5</v>
      </c>
      <c r="C2" s="121" t="s">
        <v>6</v>
      </c>
      <c r="D2" s="121" t="s">
        <v>7</v>
      </c>
      <c r="E2" s="121" t="s">
        <v>8</v>
      </c>
      <c r="F2" s="158" t="s">
        <v>9</v>
      </c>
      <c r="G2" s="159"/>
      <c r="H2" s="160"/>
    </row>
    <row r="3" spans="1:8" ht="15" customHeight="1">
      <c r="A3" s="128" t="s">
        <v>10</v>
      </c>
      <c r="B3" s="129" t="s">
        <v>11</v>
      </c>
      <c r="C3" s="127">
        <v>45945</v>
      </c>
      <c r="D3" s="130" t="s">
        <v>12</v>
      </c>
      <c r="E3" s="130" t="s">
        <v>13</v>
      </c>
      <c r="F3" s="167" t="s">
        <v>14</v>
      </c>
      <c r="G3" s="168"/>
      <c r="H3" s="169"/>
    </row>
    <row r="4" spans="1:8" ht="14.4" customHeight="1">
      <c r="A4" s="75"/>
      <c r="B4" s="76"/>
      <c r="C4" s="76"/>
      <c r="D4" s="76"/>
      <c r="E4" s="4"/>
      <c r="F4" s="161"/>
      <c r="G4" s="162"/>
      <c r="H4" s="163"/>
    </row>
    <row r="5" spans="1:8" ht="14.4" customHeight="1">
      <c r="A5" s="77"/>
      <c r="B5" s="4"/>
      <c r="C5" s="4"/>
      <c r="D5" s="4"/>
      <c r="E5" s="4"/>
      <c r="F5" s="161"/>
      <c r="G5" s="162"/>
      <c r="H5" s="163"/>
    </row>
    <row r="6" spans="1:8" ht="14.4" customHeight="1">
      <c r="A6" s="77"/>
      <c r="B6" s="4"/>
      <c r="C6" s="4"/>
      <c r="D6" s="4"/>
      <c r="E6" s="4"/>
      <c r="F6" s="161"/>
      <c r="G6" s="162"/>
      <c r="H6" s="163"/>
    </row>
    <row r="7" spans="1:8" ht="14.4" customHeight="1">
      <c r="A7" s="77"/>
      <c r="B7" s="4"/>
      <c r="C7" s="4"/>
      <c r="D7" s="4"/>
      <c r="E7" s="4"/>
      <c r="F7" s="161"/>
      <c r="G7" s="162"/>
      <c r="H7" s="163"/>
    </row>
    <row r="8" spans="1:8" ht="14.4" customHeight="1">
      <c r="A8" s="77"/>
      <c r="B8" s="4"/>
      <c r="C8" s="4"/>
      <c r="D8" s="4"/>
      <c r="E8" s="4"/>
      <c r="F8" s="161"/>
      <c r="G8" s="162"/>
      <c r="H8" s="163"/>
    </row>
    <row r="9" spans="1:8" ht="14.4" customHeight="1">
      <c r="A9" s="77"/>
      <c r="B9" s="4"/>
      <c r="C9" s="4"/>
      <c r="D9" s="4"/>
      <c r="E9" s="4"/>
      <c r="F9" s="161"/>
      <c r="G9" s="162"/>
      <c r="H9" s="163"/>
    </row>
    <row r="10" spans="1:8" ht="14.4" customHeight="1">
      <c r="A10" s="75"/>
      <c r="B10" s="76"/>
      <c r="C10" s="76"/>
      <c r="D10" s="76"/>
      <c r="E10" s="4"/>
      <c r="F10" s="161"/>
      <c r="G10" s="162"/>
      <c r="H10" s="163"/>
    </row>
    <row r="11" spans="1:8" ht="14.4" customHeight="1">
      <c r="A11" s="75"/>
      <c r="B11" s="76"/>
      <c r="C11" s="76"/>
      <c r="D11" s="76"/>
      <c r="E11" s="4"/>
      <c r="F11" s="161"/>
      <c r="G11" s="162"/>
      <c r="H11" s="163"/>
    </row>
    <row r="12" spans="1:8" ht="14.4" customHeight="1">
      <c r="A12" s="78"/>
      <c r="B12" s="79"/>
      <c r="C12" s="79"/>
      <c r="D12" s="79"/>
      <c r="E12" s="80"/>
      <c r="F12" s="164"/>
      <c r="G12" s="165"/>
      <c r="H12" s="166"/>
    </row>
  </sheetData>
  <mergeCells count="12">
    <mergeCell ref="F12:H12"/>
    <mergeCell ref="F7:H7"/>
    <mergeCell ref="F9:H9"/>
    <mergeCell ref="F3:H3"/>
    <mergeCell ref="F11:H11"/>
    <mergeCell ref="A1:H1"/>
    <mergeCell ref="F10:H10"/>
    <mergeCell ref="F6:H6"/>
    <mergeCell ref="F5:H5"/>
    <mergeCell ref="F8:H8"/>
    <mergeCell ref="F4:H4"/>
    <mergeCell ref="F2:H2"/>
  </mergeCells>
  <phoneticPr fontId="3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
  <sheetViews>
    <sheetView workbookViewId="0">
      <selection activeCell="D13" sqref="D13"/>
    </sheetView>
  </sheetViews>
  <sheetFormatPr defaultColWidth="9" defaultRowHeight="13.2"/>
  <cols>
    <col min="1" max="1" width="6.21875" customWidth="1"/>
    <col min="2" max="2" width="69" customWidth="1"/>
    <col min="3" max="3" width="13.21875" customWidth="1"/>
    <col min="4" max="4" width="12.33203125" customWidth="1"/>
    <col min="5" max="5" width="11.44140625" customWidth="1"/>
  </cols>
  <sheetData>
    <row r="1" spans="1:5" ht="15.6" customHeight="1">
      <c r="A1" s="170" t="s">
        <v>15</v>
      </c>
      <c r="B1" s="171"/>
      <c r="C1" s="171"/>
      <c r="D1" s="171"/>
      <c r="E1" s="172"/>
    </row>
    <row r="2" spans="1:5" ht="13.8" customHeight="1">
      <c r="A2" s="103" t="s">
        <v>16</v>
      </c>
      <c r="B2" s="102" t="s">
        <v>17</v>
      </c>
      <c r="C2" s="102" t="s">
        <v>18</v>
      </c>
      <c r="D2" s="102" t="s">
        <v>19</v>
      </c>
      <c r="E2" s="104" t="s">
        <v>7</v>
      </c>
    </row>
    <row r="3" spans="1:5" ht="13.8" customHeight="1">
      <c r="A3" s="105">
        <v>1</v>
      </c>
      <c r="B3" s="131" t="s">
        <v>20</v>
      </c>
      <c r="C3" s="132" t="s">
        <v>21</v>
      </c>
      <c r="D3" s="132" t="s">
        <v>22</v>
      </c>
      <c r="E3" s="133" t="s">
        <v>23</v>
      </c>
    </row>
    <row r="4" spans="1:5" ht="18" customHeight="1">
      <c r="A4" s="105">
        <v>2</v>
      </c>
      <c r="B4" s="131" t="s">
        <v>24</v>
      </c>
      <c r="C4" s="132" t="s">
        <v>25</v>
      </c>
      <c r="D4" s="132" t="s">
        <v>22</v>
      </c>
      <c r="E4" s="133" t="s">
        <v>23</v>
      </c>
    </row>
    <row r="5" spans="1:5" ht="13.8" customHeight="1">
      <c r="A5" s="105">
        <v>3</v>
      </c>
      <c r="B5" s="131" t="s">
        <v>26</v>
      </c>
      <c r="C5" s="132" t="s">
        <v>21</v>
      </c>
      <c r="D5" s="132" t="s">
        <v>22</v>
      </c>
      <c r="E5" s="133" t="s">
        <v>23</v>
      </c>
    </row>
    <row r="6" spans="1:5" ht="13.8" customHeight="1">
      <c r="A6" s="105">
        <v>4</v>
      </c>
      <c r="B6" s="70"/>
      <c r="C6" s="71"/>
      <c r="D6" s="69"/>
      <c r="E6" s="106"/>
    </row>
    <row r="7" spans="1:5" ht="13.8" customHeight="1">
      <c r="A7" s="105">
        <v>5</v>
      </c>
      <c r="B7" s="70"/>
      <c r="C7" s="71"/>
      <c r="D7" s="69"/>
      <c r="E7" s="106"/>
    </row>
    <row r="8" spans="1:5" ht="13.8" customHeight="1">
      <c r="A8" s="105">
        <v>6</v>
      </c>
      <c r="B8" s="70"/>
      <c r="C8" s="71"/>
      <c r="D8" s="69"/>
      <c r="E8" s="106"/>
    </row>
    <row r="9" spans="1:5" ht="13.8" customHeight="1">
      <c r="A9" s="105">
        <v>7</v>
      </c>
      <c r="B9" s="72"/>
      <c r="C9" s="73"/>
      <c r="D9" s="74"/>
      <c r="E9" s="106"/>
    </row>
    <row r="10" spans="1:5" ht="14.4" customHeight="1" thickBot="1">
      <c r="A10" s="107">
        <v>8</v>
      </c>
      <c r="B10" s="108"/>
      <c r="C10" s="109"/>
      <c r="D10" s="109"/>
      <c r="E10" s="110"/>
    </row>
  </sheetData>
  <mergeCells count="1">
    <mergeCell ref="A1:E1"/>
  </mergeCells>
  <phoneticPr fontId="3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4"/>
  <sheetViews>
    <sheetView tabSelected="1" zoomScaleNormal="100" workbookViewId="0">
      <pane xSplit="1" ySplit="1" topLeftCell="H2" activePane="bottomRight" state="frozen"/>
      <selection pane="topRight" activeCell="B1" sqref="B1"/>
      <selection pane="bottomLeft" activeCell="A2" sqref="A2"/>
      <selection pane="bottomRight" activeCell="L10" sqref="L10"/>
    </sheetView>
  </sheetViews>
  <sheetFormatPr defaultColWidth="8.77734375" defaultRowHeight="32.4" customHeight="1"/>
  <cols>
    <col min="1" max="1" width="21.21875" style="147" customWidth="1"/>
    <col min="2" max="2" width="31.21875" style="147" customWidth="1"/>
    <col min="3" max="3" width="23.88671875" style="147" customWidth="1"/>
    <col min="4" max="4" width="16.6640625" style="147" customWidth="1"/>
    <col min="5" max="5" width="18.77734375" style="147" customWidth="1"/>
    <col min="6" max="6" width="14" style="147" customWidth="1"/>
    <col min="7" max="7" width="18.77734375" style="147" customWidth="1"/>
    <col min="8" max="8" width="24.21875" style="147" customWidth="1"/>
    <col min="9" max="9" width="28.21875" style="147" customWidth="1"/>
    <col min="10" max="10" width="23.44140625" style="147" customWidth="1"/>
    <col min="11" max="11" width="16.21875" style="147" customWidth="1"/>
    <col min="12" max="12" width="14.21875" style="147" customWidth="1"/>
    <col min="13" max="13" width="21" style="147" customWidth="1"/>
    <col min="14" max="14" width="14.109375" style="147" customWidth="1"/>
    <col min="15" max="15" width="16" style="147" customWidth="1"/>
    <col min="16" max="16" width="61.88671875" style="147" customWidth="1"/>
    <col min="17" max="17" width="14.21875" style="147" customWidth="1"/>
    <col min="18" max="18" width="11.5546875" style="147" customWidth="1"/>
    <col min="19" max="21" width="8.77734375" style="147" customWidth="1"/>
    <col min="22" max="16384" width="8.77734375" style="147"/>
  </cols>
  <sheetData>
    <row r="1" spans="1:18" s="151" customFormat="1" ht="32.4" customHeight="1">
      <c r="A1" s="122" t="s">
        <v>27</v>
      </c>
      <c r="B1" s="122" t="s">
        <v>28</v>
      </c>
      <c r="C1" s="122" t="s">
        <v>29</v>
      </c>
      <c r="D1" s="122" t="s">
        <v>30</v>
      </c>
      <c r="E1" s="122" t="s">
        <v>31</v>
      </c>
      <c r="F1" s="122" t="s">
        <v>32</v>
      </c>
      <c r="G1" s="122" t="s">
        <v>33</v>
      </c>
      <c r="H1" s="122" t="s">
        <v>34</v>
      </c>
      <c r="I1" s="122" t="s">
        <v>35</v>
      </c>
      <c r="J1" s="122" t="s">
        <v>36</v>
      </c>
      <c r="K1" s="122" t="s">
        <v>37</v>
      </c>
      <c r="L1" s="122" t="s">
        <v>38</v>
      </c>
      <c r="M1" s="122" t="s">
        <v>39</v>
      </c>
      <c r="N1" s="122" t="s">
        <v>40</v>
      </c>
      <c r="O1" s="122" t="s">
        <v>41</v>
      </c>
      <c r="P1" s="122" t="s">
        <v>42</v>
      </c>
      <c r="Q1" s="122" t="s">
        <v>43</v>
      </c>
      <c r="R1" s="122" t="s">
        <v>44</v>
      </c>
    </row>
    <row r="2" spans="1:18" s="148" customFormat="1" ht="32.4" customHeight="1">
      <c r="A2" s="148" t="s">
        <v>45</v>
      </c>
      <c r="B2" s="148" t="s">
        <v>46</v>
      </c>
      <c r="D2" s="148" t="s">
        <v>47</v>
      </c>
      <c r="E2" s="148" t="s">
        <v>48</v>
      </c>
      <c r="F2" s="148" t="s">
        <v>49</v>
      </c>
      <c r="G2" s="148" t="s">
        <v>50</v>
      </c>
      <c r="H2" s="148" t="s">
        <v>51</v>
      </c>
      <c r="I2" s="149" t="s">
        <v>52</v>
      </c>
      <c r="J2" s="149" t="s">
        <v>53</v>
      </c>
      <c r="K2" s="148" t="s">
        <v>11</v>
      </c>
      <c r="L2" s="148" t="s">
        <v>23</v>
      </c>
      <c r="M2" t="s">
        <v>54</v>
      </c>
      <c r="O2" s="148" t="s">
        <v>55</v>
      </c>
      <c r="P2" s="150" t="s">
        <v>56</v>
      </c>
      <c r="Q2" t="s">
        <v>57</v>
      </c>
    </row>
    <row r="3" spans="1:18" s="148" customFormat="1" ht="32.4" customHeight="1">
      <c r="A3" s="148" t="s">
        <v>58</v>
      </c>
      <c r="B3" s="148" t="s">
        <v>46</v>
      </c>
      <c r="D3" s="148" t="s">
        <v>47</v>
      </c>
      <c r="E3" s="148" t="s">
        <v>48</v>
      </c>
      <c r="F3" s="148" t="s">
        <v>49</v>
      </c>
      <c r="G3" s="148" t="s">
        <v>50</v>
      </c>
      <c r="H3" s="148" t="s">
        <v>51</v>
      </c>
      <c r="I3" s="149" t="s">
        <v>59</v>
      </c>
      <c r="J3" s="149" t="s">
        <v>53</v>
      </c>
      <c r="K3" s="148" t="s">
        <v>11</v>
      </c>
      <c r="L3" s="148" t="s">
        <v>23</v>
      </c>
      <c r="M3" t="s">
        <v>60</v>
      </c>
      <c r="O3" s="148" t="s">
        <v>55</v>
      </c>
      <c r="P3" s="14" t="s">
        <v>61</v>
      </c>
      <c r="Q3" t="s">
        <v>57</v>
      </c>
    </row>
    <row r="4" spans="1:18" s="148" customFormat="1" ht="32.4" customHeight="1">
      <c r="A4" s="148" t="s">
        <v>62</v>
      </c>
      <c r="B4" s="148" t="s">
        <v>46</v>
      </c>
      <c r="D4" s="148" t="s">
        <v>47</v>
      </c>
      <c r="E4" s="148" t="s">
        <v>48</v>
      </c>
      <c r="F4" s="148" t="s">
        <v>49</v>
      </c>
      <c r="G4" s="148" t="s">
        <v>50</v>
      </c>
      <c r="H4" s="148" t="s">
        <v>51</v>
      </c>
      <c r="I4" s="149" t="s">
        <v>63</v>
      </c>
      <c r="J4" s="149" t="s">
        <v>53</v>
      </c>
      <c r="K4" s="148" t="s">
        <v>11</v>
      </c>
      <c r="L4" s="148" t="s">
        <v>23</v>
      </c>
      <c r="M4" t="s">
        <v>64</v>
      </c>
      <c r="O4" s="148" t="s">
        <v>55</v>
      </c>
      <c r="P4" s="150" t="s">
        <v>65</v>
      </c>
      <c r="Q4" t="s">
        <v>57</v>
      </c>
    </row>
    <row r="5" spans="1:18" s="148" customFormat="1" ht="32.4" customHeight="1">
      <c r="A5" s="148" t="s">
        <v>66</v>
      </c>
      <c r="B5" s="148" t="s">
        <v>67</v>
      </c>
      <c r="D5" s="148" t="s">
        <v>47</v>
      </c>
      <c r="E5" s="148" t="s">
        <v>48</v>
      </c>
      <c r="F5" s="148" t="s">
        <v>49</v>
      </c>
      <c r="G5" s="148" t="s">
        <v>50</v>
      </c>
      <c r="H5" s="148" t="s">
        <v>51</v>
      </c>
      <c r="I5" s="149" t="s">
        <v>68</v>
      </c>
      <c r="J5" s="149" t="s">
        <v>53</v>
      </c>
      <c r="K5" s="148" t="s">
        <v>11</v>
      </c>
      <c r="L5" s="148" t="s">
        <v>23</v>
      </c>
      <c r="M5" t="s">
        <v>69</v>
      </c>
      <c r="O5" s="148" t="s">
        <v>55</v>
      </c>
      <c r="P5" s="150" t="s">
        <v>70</v>
      </c>
      <c r="Q5" t="s">
        <v>57</v>
      </c>
    </row>
    <row r="6" spans="1:18" s="148" customFormat="1" ht="32.4" customHeight="1">
      <c r="A6" s="148" t="s">
        <v>71</v>
      </c>
      <c r="B6" s="148" t="s">
        <v>67</v>
      </c>
      <c r="D6" s="148" t="s">
        <v>47</v>
      </c>
      <c r="E6" s="148" t="s">
        <v>48</v>
      </c>
      <c r="F6" s="148" t="s">
        <v>49</v>
      </c>
      <c r="G6" s="148" t="s">
        <v>50</v>
      </c>
      <c r="H6" s="148" t="s">
        <v>51</v>
      </c>
      <c r="I6" s="149" t="s">
        <v>72</v>
      </c>
      <c r="J6" s="149" t="s">
        <v>53</v>
      </c>
      <c r="K6" s="148" t="s">
        <v>11</v>
      </c>
      <c r="L6" s="148" t="s">
        <v>23</v>
      </c>
      <c r="M6" t="s">
        <v>73</v>
      </c>
      <c r="O6" s="148" t="s">
        <v>55</v>
      </c>
      <c r="P6" s="14" t="s">
        <v>74</v>
      </c>
      <c r="Q6" t="s">
        <v>57</v>
      </c>
    </row>
    <row r="7" spans="1:18" s="148" customFormat="1" ht="32.4" customHeight="1">
      <c r="A7" s="148" t="s">
        <v>75</v>
      </c>
      <c r="B7" s="148" t="s">
        <v>67</v>
      </c>
      <c r="D7" s="148" t="s">
        <v>47</v>
      </c>
      <c r="E7" s="148" t="s">
        <v>48</v>
      </c>
      <c r="F7" s="148" t="s">
        <v>49</v>
      </c>
      <c r="G7" s="148" t="s">
        <v>50</v>
      </c>
      <c r="H7" s="148" t="s">
        <v>51</v>
      </c>
      <c r="I7" s="149" t="s">
        <v>76</v>
      </c>
      <c r="J7" s="149" t="s">
        <v>53</v>
      </c>
      <c r="K7" s="148" t="s">
        <v>11</v>
      </c>
      <c r="L7" s="148" t="s">
        <v>23</v>
      </c>
      <c r="M7" t="s">
        <v>77</v>
      </c>
      <c r="O7" s="148" t="s">
        <v>55</v>
      </c>
      <c r="P7" s="14" t="s">
        <v>78</v>
      </c>
      <c r="Q7" t="s">
        <v>57</v>
      </c>
    </row>
    <row r="8" spans="1:18" s="148" customFormat="1" ht="32.4" customHeight="1">
      <c r="A8" s="148" t="s">
        <v>79</v>
      </c>
      <c r="B8" s="148" t="s">
        <v>80</v>
      </c>
      <c r="D8" s="148" t="s">
        <v>47</v>
      </c>
      <c r="E8" s="148" t="s">
        <v>48</v>
      </c>
      <c r="F8" s="148" t="s">
        <v>49</v>
      </c>
      <c r="G8" s="148" t="s">
        <v>50</v>
      </c>
      <c r="H8" s="148" t="s">
        <v>51</v>
      </c>
      <c r="I8" s="149" t="s">
        <v>81</v>
      </c>
      <c r="J8" s="149" t="s">
        <v>53</v>
      </c>
      <c r="K8" s="148" t="s">
        <v>11</v>
      </c>
      <c r="L8" s="148" t="s">
        <v>23</v>
      </c>
      <c r="M8" t="s">
        <v>82</v>
      </c>
      <c r="O8" s="148" t="s">
        <v>55</v>
      </c>
      <c r="P8" s="14" t="s">
        <v>83</v>
      </c>
      <c r="Q8" t="s">
        <v>57</v>
      </c>
    </row>
    <row r="9" spans="1:18" s="148" customFormat="1" ht="32.4" customHeight="1">
      <c r="A9" s="148" t="s">
        <v>84</v>
      </c>
      <c r="B9" s="148" t="s">
        <v>80</v>
      </c>
      <c r="D9" s="148" t="s">
        <v>47</v>
      </c>
      <c r="E9" s="148" t="s">
        <v>48</v>
      </c>
      <c r="F9" s="148" t="s">
        <v>49</v>
      </c>
      <c r="G9" s="148" t="s">
        <v>50</v>
      </c>
      <c r="H9" s="148" t="s">
        <v>51</v>
      </c>
      <c r="I9" s="149" t="s">
        <v>85</v>
      </c>
      <c r="J9" s="149" t="s">
        <v>53</v>
      </c>
      <c r="K9" s="148" t="s">
        <v>11</v>
      </c>
      <c r="L9" s="148" t="s">
        <v>23</v>
      </c>
      <c r="M9" t="s">
        <v>86</v>
      </c>
      <c r="O9" s="148" t="s">
        <v>55</v>
      </c>
      <c r="P9" s="14" t="s">
        <v>87</v>
      </c>
      <c r="Q9" t="s">
        <v>57</v>
      </c>
    </row>
    <row r="10" spans="1:18" s="148" customFormat="1" ht="32.4" customHeight="1">
      <c r="A10" s="148" t="s">
        <v>88</v>
      </c>
      <c r="B10" s="148" t="s">
        <v>89</v>
      </c>
      <c r="D10" s="148" t="s">
        <v>47</v>
      </c>
      <c r="E10" s="148" t="s">
        <v>48</v>
      </c>
      <c r="F10" s="148" t="s">
        <v>49</v>
      </c>
      <c r="G10" s="148" t="s">
        <v>50</v>
      </c>
      <c r="H10" s="148" t="s">
        <v>90</v>
      </c>
      <c r="I10" s="149" t="s">
        <v>91</v>
      </c>
      <c r="J10" s="149" t="s">
        <v>92</v>
      </c>
      <c r="K10" s="148" t="s">
        <v>11</v>
      </c>
      <c r="L10" s="148" t="s">
        <v>23</v>
      </c>
      <c r="M10" t="s">
        <v>93</v>
      </c>
      <c r="O10" s="148" t="s">
        <v>55</v>
      </c>
      <c r="P10" s="14" t="s">
        <v>94</v>
      </c>
      <c r="Q10" t="s">
        <v>57</v>
      </c>
    </row>
    <row r="11" spans="1:18" s="148" customFormat="1" ht="32.4" customHeight="1">
      <c r="A11" s="148" t="s">
        <v>95</v>
      </c>
      <c r="B11" s="148" t="s">
        <v>89</v>
      </c>
      <c r="D11" s="148" t="s">
        <v>47</v>
      </c>
      <c r="E11" s="148" t="s">
        <v>48</v>
      </c>
      <c r="F11" s="148" t="s">
        <v>49</v>
      </c>
      <c r="G11" s="148" t="s">
        <v>50</v>
      </c>
      <c r="H11" s="148" t="s">
        <v>90</v>
      </c>
      <c r="I11" s="149" t="s">
        <v>96</v>
      </c>
      <c r="J11" s="149" t="s">
        <v>92</v>
      </c>
      <c r="K11" s="148" t="s">
        <v>11</v>
      </c>
      <c r="L11" s="148" t="s">
        <v>23</v>
      </c>
      <c r="M11" t="s">
        <v>97</v>
      </c>
      <c r="O11" s="148" t="s">
        <v>55</v>
      </c>
      <c r="P11" s="14" t="s">
        <v>98</v>
      </c>
      <c r="Q11" t="s">
        <v>57</v>
      </c>
    </row>
    <row r="12" spans="1:18" s="148" customFormat="1" ht="32.4" customHeight="1">
      <c r="A12" s="148" t="s">
        <v>99</v>
      </c>
      <c r="B12" s="148" t="s">
        <v>89</v>
      </c>
      <c r="D12" s="148" t="s">
        <v>100</v>
      </c>
      <c r="E12" s="148" t="s">
        <v>48</v>
      </c>
      <c r="F12" s="148" t="s">
        <v>49</v>
      </c>
      <c r="G12" s="148" t="s">
        <v>50</v>
      </c>
      <c r="H12" s="148" t="s">
        <v>90</v>
      </c>
      <c r="I12" s="149" t="s">
        <v>101</v>
      </c>
      <c r="J12" s="149" t="s">
        <v>92</v>
      </c>
      <c r="K12" s="148" t="s">
        <v>11</v>
      </c>
      <c r="L12" s="148" t="s">
        <v>23</v>
      </c>
      <c r="M12" t="s">
        <v>102</v>
      </c>
      <c r="O12" s="148" t="s">
        <v>55</v>
      </c>
      <c r="P12" s="150" t="s">
        <v>302</v>
      </c>
      <c r="Q12" t="s">
        <v>103</v>
      </c>
    </row>
    <row r="13" spans="1:18" s="148" customFormat="1" ht="32.4" customHeight="1">
      <c r="A13" s="148" t="s">
        <v>104</v>
      </c>
      <c r="B13" s="148" t="s">
        <v>89</v>
      </c>
      <c r="D13" s="148" t="s">
        <v>100</v>
      </c>
      <c r="E13" s="148" t="s">
        <v>48</v>
      </c>
      <c r="F13" s="148" t="s">
        <v>49</v>
      </c>
      <c r="G13" s="148" t="s">
        <v>50</v>
      </c>
      <c r="H13" s="148" t="s">
        <v>90</v>
      </c>
      <c r="I13" s="149" t="s">
        <v>105</v>
      </c>
      <c r="J13" s="149" t="s">
        <v>92</v>
      </c>
      <c r="K13" s="148" t="s">
        <v>11</v>
      </c>
      <c r="L13" s="148" t="s">
        <v>23</v>
      </c>
      <c r="M13" t="s">
        <v>106</v>
      </c>
      <c r="O13" s="148" t="s">
        <v>55</v>
      </c>
      <c r="P13" s="14" t="s">
        <v>107</v>
      </c>
      <c r="Q13" t="s">
        <v>57</v>
      </c>
    </row>
    <row r="14" spans="1:18" s="148" customFormat="1" ht="32.4" customHeight="1">
      <c r="A14" s="148" t="s">
        <v>108</v>
      </c>
      <c r="B14" s="148" t="s">
        <v>89</v>
      </c>
      <c r="D14" s="148" t="s">
        <v>100</v>
      </c>
      <c r="E14" s="148" t="s">
        <v>48</v>
      </c>
      <c r="F14" s="148" t="s">
        <v>49</v>
      </c>
      <c r="G14" s="148" t="s">
        <v>50</v>
      </c>
      <c r="H14" s="148" t="s">
        <v>90</v>
      </c>
      <c r="I14" s="149" t="s">
        <v>109</v>
      </c>
      <c r="J14" s="149" t="s">
        <v>92</v>
      </c>
      <c r="K14" s="148" t="s">
        <v>11</v>
      </c>
      <c r="L14" s="148" t="s">
        <v>23</v>
      </c>
      <c r="M14" t="s">
        <v>110</v>
      </c>
      <c r="O14" s="148" t="s">
        <v>55</v>
      </c>
      <c r="P14" s="150" t="s">
        <v>301</v>
      </c>
      <c r="Q14" t="s">
        <v>57</v>
      </c>
    </row>
    <row r="15" spans="1:18" s="148" customFormat="1" ht="32.4" customHeight="1">
      <c r="A15" s="148" t="s">
        <v>111</v>
      </c>
      <c r="D15" s="148" t="s">
        <v>112</v>
      </c>
      <c r="E15" s="148" t="s">
        <v>48</v>
      </c>
      <c r="F15" s="148" t="s">
        <v>49</v>
      </c>
      <c r="G15" s="148" t="s">
        <v>50</v>
      </c>
      <c r="H15" s="148" t="s">
        <v>90</v>
      </c>
      <c r="I15" s="149" t="s">
        <v>113</v>
      </c>
      <c r="J15" s="149" t="s">
        <v>92</v>
      </c>
      <c r="K15" s="148" t="s">
        <v>11</v>
      </c>
      <c r="L15" s="148" t="s">
        <v>23</v>
      </c>
      <c r="M15" t="s">
        <v>114</v>
      </c>
      <c r="O15" s="148" t="s">
        <v>55</v>
      </c>
      <c r="P15" s="14" t="s">
        <v>115</v>
      </c>
      <c r="Q15" t="s">
        <v>57</v>
      </c>
    </row>
    <row r="16" spans="1:18" s="148" customFormat="1" ht="32.4" customHeight="1">
      <c r="A16" s="148" t="s">
        <v>116</v>
      </c>
      <c r="B16" s="148" t="s">
        <v>89</v>
      </c>
      <c r="D16" s="148" t="s">
        <v>112</v>
      </c>
      <c r="E16" s="148" t="s">
        <v>48</v>
      </c>
      <c r="F16" s="148" t="s">
        <v>49</v>
      </c>
      <c r="G16" s="148" t="s">
        <v>50</v>
      </c>
      <c r="H16" s="148" t="s">
        <v>90</v>
      </c>
      <c r="I16" s="149" t="s">
        <v>117</v>
      </c>
      <c r="J16" s="149" t="s">
        <v>92</v>
      </c>
      <c r="K16" s="148" t="s">
        <v>11</v>
      </c>
      <c r="L16" s="148" t="s">
        <v>23</v>
      </c>
      <c r="M16" t="s">
        <v>118</v>
      </c>
      <c r="O16" s="148" t="s">
        <v>55</v>
      </c>
      <c r="P16" s="14" t="s">
        <v>119</v>
      </c>
      <c r="Q16" t="s">
        <v>57</v>
      </c>
    </row>
    <row r="17" spans="1:17" s="148" customFormat="1" ht="32.4" customHeight="1">
      <c r="A17" s="148" t="s">
        <v>120</v>
      </c>
      <c r="B17" s="148" t="s">
        <v>121</v>
      </c>
      <c r="D17" s="148" t="s">
        <v>47</v>
      </c>
      <c r="E17" s="148" t="s">
        <v>48</v>
      </c>
      <c r="F17" s="148" t="s">
        <v>49</v>
      </c>
      <c r="G17" s="148" t="s">
        <v>50</v>
      </c>
      <c r="H17" s="148" t="s">
        <v>122</v>
      </c>
      <c r="I17" s="149" t="s">
        <v>123</v>
      </c>
      <c r="J17" s="149" t="s">
        <v>124</v>
      </c>
      <c r="K17" s="148" t="s">
        <v>11</v>
      </c>
      <c r="L17" s="148" t="s">
        <v>23</v>
      </c>
      <c r="M17" t="s">
        <v>125</v>
      </c>
      <c r="O17" s="148" t="s">
        <v>55</v>
      </c>
      <c r="P17" s="14" t="s">
        <v>126</v>
      </c>
      <c r="Q17" t="s">
        <v>57</v>
      </c>
    </row>
    <row r="18" spans="1:17" s="148" customFormat="1" ht="32.4" customHeight="1">
      <c r="A18" s="148" t="s">
        <v>127</v>
      </c>
      <c r="B18" s="148" t="s">
        <v>121</v>
      </c>
      <c r="D18" s="148" t="s">
        <v>47</v>
      </c>
      <c r="E18" s="148" t="s">
        <v>48</v>
      </c>
      <c r="F18" s="148" t="s">
        <v>49</v>
      </c>
      <c r="G18" s="148" t="s">
        <v>50</v>
      </c>
      <c r="H18" s="148" t="s">
        <v>122</v>
      </c>
      <c r="I18" s="149" t="s">
        <v>128</v>
      </c>
      <c r="J18" s="149" t="s">
        <v>124</v>
      </c>
      <c r="K18" s="148" t="s">
        <v>11</v>
      </c>
      <c r="L18" s="148" t="s">
        <v>23</v>
      </c>
      <c r="M18" t="s">
        <v>129</v>
      </c>
      <c r="O18" s="148" t="s">
        <v>55</v>
      </c>
      <c r="P18" s="14" t="s">
        <v>130</v>
      </c>
      <c r="Q18" t="s">
        <v>57</v>
      </c>
    </row>
    <row r="19" spans="1:17" s="148" customFormat="1" ht="32.4" customHeight="1">
      <c r="A19" s="148" t="s">
        <v>131</v>
      </c>
      <c r="B19" s="148" t="s">
        <v>121</v>
      </c>
      <c r="D19" s="148" t="s">
        <v>47</v>
      </c>
      <c r="E19" s="148" t="s">
        <v>48</v>
      </c>
      <c r="F19" s="148" t="s">
        <v>49</v>
      </c>
      <c r="G19" s="148" t="s">
        <v>50</v>
      </c>
      <c r="H19" s="148" t="s">
        <v>122</v>
      </c>
      <c r="I19" s="149" t="s">
        <v>132</v>
      </c>
      <c r="J19" s="149" t="s">
        <v>124</v>
      </c>
      <c r="K19" s="148" t="s">
        <v>11</v>
      </c>
      <c r="L19" s="148" t="s">
        <v>23</v>
      </c>
      <c r="M19" t="s">
        <v>133</v>
      </c>
      <c r="O19" s="148" t="s">
        <v>55</v>
      </c>
      <c r="P19" s="150" t="s">
        <v>300</v>
      </c>
      <c r="Q19" t="s">
        <v>57</v>
      </c>
    </row>
    <row r="20" spans="1:17" s="148" customFormat="1" ht="32.4" customHeight="1">
      <c r="A20" s="148" t="s">
        <v>134</v>
      </c>
      <c r="B20" s="148" t="s">
        <v>135</v>
      </c>
      <c r="D20" s="148" t="s">
        <v>47</v>
      </c>
      <c r="E20" s="148" t="s">
        <v>48</v>
      </c>
      <c r="F20" s="148" t="s">
        <v>49</v>
      </c>
      <c r="G20" s="148" t="s">
        <v>50</v>
      </c>
      <c r="H20" s="148" t="s">
        <v>136</v>
      </c>
      <c r="I20" s="149" t="s">
        <v>137</v>
      </c>
      <c r="J20" s="149" t="s">
        <v>124</v>
      </c>
      <c r="K20" s="148" t="s">
        <v>11</v>
      </c>
      <c r="L20" s="148" t="s">
        <v>23</v>
      </c>
      <c r="M20" t="s">
        <v>138</v>
      </c>
      <c r="O20" s="148" t="s">
        <v>55</v>
      </c>
      <c r="P20" s="14" t="s">
        <v>139</v>
      </c>
      <c r="Q20" t="s">
        <v>57</v>
      </c>
    </row>
    <row r="21" spans="1:17" s="148" customFormat="1" ht="32.4" customHeight="1">
      <c r="A21" s="148" t="s">
        <v>140</v>
      </c>
      <c r="B21" s="148" t="s">
        <v>135</v>
      </c>
      <c r="D21" s="148" t="s">
        <v>47</v>
      </c>
      <c r="E21" s="148" t="s">
        <v>48</v>
      </c>
      <c r="F21" s="148" t="s">
        <v>49</v>
      </c>
      <c r="G21" s="148" t="s">
        <v>50</v>
      </c>
      <c r="H21" s="148" t="s">
        <v>141</v>
      </c>
      <c r="I21" s="149" t="s">
        <v>142</v>
      </c>
      <c r="J21" s="149" t="s">
        <v>124</v>
      </c>
      <c r="K21" s="148" t="s">
        <v>11</v>
      </c>
      <c r="L21" s="148" t="s">
        <v>23</v>
      </c>
      <c r="M21" t="s">
        <v>143</v>
      </c>
      <c r="O21" s="148" t="s">
        <v>55</v>
      </c>
      <c r="P21" s="14" t="s">
        <v>144</v>
      </c>
      <c r="Q21" t="s">
        <v>57</v>
      </c>
    </row>
    <row r="22" spans="1:17" s="148" customFormat="1" ht="32.4" customHeight="1">
      <c r="A22" s="148" t="s">
        <v>145</v>
      </c>
      <c r="B22" s="148" t="s">
        <v>135</v>
      </c>
      <c r="D22" s="148" t="s">
        <v>47</v>
      </c>
      <c r="E22" s="148" t="s">
        <v>48</v>
      </c>
      <c r="F22" s="148" t="s">
        <v>49</v>
      </c>
      <c r="G22" s="148" t="s">
        <v>50</v>
      </c>
      <c r="H22" s="148" t="s">
        <v>141</v>
      </c>
      <c r="I22" s="149" t="s">
        <v>146</v>
      </c>
      <c r="J22" s="149" t="s">
        <v>124</v>
      </c>
      <c r="K22" s="148" t="s">
        <v>11</v>
      </c>
      <c r="L22" s="148" t="s">
        <v>23</v>
      </c>
      <c r="M22" t="s">
        <v>147</v>
      </c>
      <c r="O22" s="148" t="s">
        <v>55</v>
      </c>
      <c r="P22" s="14" t="s">
        <v>148</v>
      </c>
      <c r="Q22" t="s">
        <v>57</v>
      </c>
    </row>
    <row r="23" spans="1:17" s="148" customFormat="1" ht="32.4" customHeight="1">
      <c r="A23" s="148" t="s">
        <v>149</v>
      </c>
      <c r="D23" s="148" t="s">
        <v>47</v>
      </c>
      <c r="E23" s="148" t="s">
        <v>48</v>
      </c>
      <c r="F23" s="148" t="s">
        <v>49</v>
      </c>
      <c r="G23" s="148" t="s">
        <v>50</v>
      </c>
      <c r="H23" s="148" t="s">
        <v>150</v>
      </c>
      <c r="I23" s="149" t="s">
        <v>151</v>
      </c>
      <c r="J23" s="149" t="s">
        <v>152</v>
      </c>
      <c r="K23" s="148" t="s">
        <v>11</v>
      </c>
      <c r="L23" s="148" t="s">
        <v>23</v>
      </c>
      <c r="M23" t="s">
        <v>153</v>
      </c>
      <c r="O23" s="148" t="s">
        <v>55</v>
      </c>
      <c r="P23" s="14" t="s">
        <v>154</v>
      </c>
      <c r="Q23" t="s">
        <v>57</v>
      </c>
    </row>
    <row r="24" spans="1:17" s="148" customFormat="1" ht="32.4" customHeight="1">
      <c r="A24" s="148" t="s">
        <v>155</v>
      </c>
      <c r="D24" s="148" t="s">
        <v>47</v>
      </c>
      <c r="E24" s="148" t="s">
        <v>48</v>
      </c>
      <c r="F24" s="148" t="s">
        <v>49</v>
      </c>
      <c r="G24" s="148" t="s">
        <v>50</v>
      </c>
      <c r="H24" s="148" t="s">
        <v>150</v>
      </c>
      <c r="I24" s="149" t="s">
        <v>156</v>
      </c>
      <c r="J24" s="149" t="s">
        <v>152</v>
      </c>
      <c r="K24" s="148" t="s">
        <v>11</v>
      </c>
      <c r="L24" s="148" t="s">
        <v>23</v>
      </c>
      <c r="M24" t="s">
        <v>157</v>
      </c>
      <c r="O24" s="148" t="s">
        <v>55</v>
      </c>
      <c r="P24" s="14" t="s">
        <v>158</v>
      </c>
      <c r="Q24" t="s">
        <v>57</v>
      </c>
    </row>
    <row r="25" spans="1:17" s="148" customFormat="1" ht="32.4" customHeight="1">
      <c r="A25" s="148" t="s">
        <v>159</v>
      </c>
      <c r="D25" s="148" t="s">
        <v>47</v>
      </c>
      <c r="E25" s="148" t="s">
        <v>48</v>
      </c>
      <c r="F25" s="148" t="s">
        <v>49</v>
      </c>
      <c r="G25" s="148" t="s">
        <v>50</v>
      </c>
      <c r="H25" s="148" t="s">
        <v>150</v>
      </c>
      <c r="I25" s="149" t="s">
        <v>160</v>
      </c>
      <c r="J25" s="149" t="s">
        <v>152</v>
      </c>
      <c r="K25" s="148" t="s">
        <v>11</v>
      </c>
      <c r="L25" s="148" t="s">
        <v>23</v>
      </c>
      <c r="M25" t="s">
        <v>161</v>
      </c>
      <c r="O25" s="148" t="s">
        <v>55</v>
      </c>
      <c r="P25" s="14" t="s">
        <v>162</v>
      </c>
      <c r="Q25" t="s">
        <v>57</v>
      </c>
    </row>
    <row r="26" spans="1:17" s="148" customFormat="1" ht="32.4" customHeight="1">
      <c r="A26" s="148" t="s">
        <v>163</v>
      </c>
      <c r="B26" s="148" t="s">
        <v>164</v>
      </c>
      <c r="D26" s="148" t="s">
        <v>47</v>
      </c>
      <c r="E26" s="148" t="s">
        <v>48</v>
      </c>
      <c r="F26" s="148" t="s">
        <v>49</v>
      </c>
      <c r="G26" s="148" t="s">
        <v>50</v>
      </c>
      <c r="H26" s="148" t="s">
        <v>122</v>
      </c>
      <c r="I26" s="149" t="s">
        <v>165</v>
      </c>
      <c r="J26" s="149" t="s">
        <v>124</v>
      </c>
      <c r="K26" s="148" t="s">
        <v>11</v>
      </c>
      <c r="L26" s="148" t="s">
        <v>23</v>
      </c>
      <c r="M26" t="s">
        <v>166</v>
      </c>
      <c r="O26" s="148" t="s">
        <v>55</v>
      </c>
      <c r="P26" s="14" t="s">
        <v>167</v>
      </c>
      <c r="Q26" t="s">
        <v>57</v>
      </c>
    </row>
    <row r="27" spans="1:17" s="148" customFormat="1" ht="32.4" customHeight="1">
      <c r="A27" s="148" t="s">
        <v>168</v>
      </c>
      <c r="B27" s="148" t="s">
        <v>164</v>
      </c>
      <c r="D27" s="148" t="s">
        <v>47</v>
      </c>
      <c r="E27" s="148" t="s">
        <v>48</v>
      </c>
      <c r="F27" s="148" t="s">
        <v>49</v>
      </c>
      <c r="G27" s="148" t="s">
        <v>50</v>
      </c>
      <c r="H27" s="148" t="s">
        <v>122</v>
      </c>
      <c r="I27" s="149" t="s">
        <v>169</v>
      </c>
      <c r="J27" s="149" t="s">
        <v>124</v>
      </c>
      <c r="K27" s="148" t="s">
        <v>11</v>
      </c>
      <c r="L27" s="148" t="s">
        <v>23</v>
      </c>
      <c r="M27" t="s">
        <v>170</v>
      </c>
      <c r="O27" s="148" t="s">
        <v>55</v>
      </c>
      <c r="P27" s="14" t="s">
        <v>171</v>
      </c>
      <c r="Q27" t="s">
        <v>57</v>
      </c>
    </row>
    <row r="28" spans="1:17" s="148" customFormat="1" ht="32.4" customHeight="1">
      <c r="A28" s="148" t="s">
        <v>172</v>
      </c>
      <c r="B28" s="148" t="s">
        <v>164</v>
      </c>
      <c r="D28" s="148" t="s">
        <v>47</v>
      </c>
      <c r="E28" s="148" t="s">
        <v>48</v>
      </c>
      <c r="F28" s="148" t="s">
        <v>49</v>
      </c>
      <c r="G28" s="148" t="s">
        <v>50</v>
      </c>
      <c r="H28" s="148" t="s">
        <v>122</v>
      </c>
      <c r="I28" s="149" t="s">
        <v>173</v>
      </c>
      <c r="J28" s="149" t="s">
        <v>124</v>
      </c>
      <c r="K28" s="148" t="s">
        <v>11</v>
      </c>
      <c r="L28" s="148" t="s">
        <v>23</v>
      </c>
      <c r="M28" t="s">
        <v>174</v>
      </c>
      <c r="O28" s="148" t="s">
        <v>55</v>
      </c>
      <c r="P28" s="14" t="s">
        <v>175</v>
      </c>
      <c r="Q28" t="s">
        <v>57</v>
      </c>
    </row>
    <row r="29" spans="1:17" s="148" customFormat="1" ht="32.4" customHeight="1">
      <c r="A29" s="148" t="s">
        <v>176</v>
      </c>
      <c r="B29" s="148" t="s">
        <v>177</v>
      </c>
      <c r="D29" s="148" t="s">
        <v>47</v>
      </c>
      <c r="E29" s="148" t="s">
        <v>48</v>
      </c>
      <c r="F29" s="148" t="s">
        <v>49</v>
      </c>
      <c r="G29" s="148" t="s">
        <v>50</v>
      </c>
      <c r="H29" s="148" t="s">
        <v>178</v>
      </c>
      <c r="I29" s="149" t="s">
        <v>179</v>
      </c>
      <c r="J29" s="149" t="s">
        <v>124</v>
      </c>
      <c r="K29" s="148" t="s">
        <v>11</v>
      </c>
      <c r="L29" s="148" t="s">
        <v>23</v>
      </c>
      <c r="M29" t="s">
        <v>180</v>
      </c>
      <c r="O29" s="148" t="s">
        <v>55</v>
      </c>
      <c r="P29" s="14" t="s">
        <v>181</v>
      </c>
      <c r="Q29" t="s">
        <v>57</v>
      </c>
    </row>
    <row r="30" spans="1:17" s="148" customFormat="1" ht="32.4" customHeight="1">
      <c r="A30" s="148" t="s">
        <v>182</v>
      </c>
      <c r="B30" s="148" t="s">
        <v>177</v>
      </c>
      <c r="D30" s="148" t="s">
        <v>47</v>
      </c>
      <c r="E30" s="148" t="s">
        <v>48</v>
      </c>
      <c r="F30" s="148" t="s">
        <v>49</v>
      </c>
      <c r="G30" s="148" t="s">
        <v>50</v>
      </c>
      <c r="H30" s="148" t="s">
        <v>178</v>
      </c>
      <c r="I30" s="149" t="s">
        <v>183</v>
      </c>
      <c r="J30" s="149" t="s">
        <v>124</v>
      </c>
      <c r="K30" s="148" t="s">
        <v>11</v>
      </c>
      <c r="L30" s="148" t="s">
        <v>23</v>
      </c>
      <c r="M30" t="s">
        <v>184</v>
      </c>
      <c r="O30" s="148" t="s">
        <v>55</v>
      </c>
      <c r="P30" s="14" t="s">
        <v>185</v>
      </c>
      <c r="Q30" t="s">
        <v>57</v>
      </c>
    </row>
    <row r="31" spans="1:17" s="148" customFormat="1" ht="32.4" customHeight="1">
      <c r="A31" s="148" t="s">
        <v>186</v>
      </c>
      <c r="B31" s="148" t="s">
        <v>187</v>
      </c>
      <c r="D31" s="148" t="s">
        <v>47</v>
      </c>
      <c r="E31" s="148" t="s">
        <v>48</v>
      </c>
      <c r="F31" s="148" t="s">
        <v>49</v>
      </c>
      <c r="G31" s="148" t="s">
        <v>50</v>
      </c>
      <c r="H31" s="148" t="s">
        <v>122</v>
      </c>
      <c r="I31" s="149" t="s">
        <v>188</v>
      </c>
      <c r="J31" s="149" t="s">
        <v>124</v>
      </c>
      <c r="K31" s="148" t="s">
        <v>11</v>
      </c>
      <c r="L31" s="148" t="s">
        <v>23</v>
      </c>
      <c r="M31" t="s">
        <v>189</v>
      </c>
      <c r="O31" s="148" t="s">
        <v>55</v>
      </c>
      <c r="P31" s="14" t="s">
        <v>190</v>
      </c>
      <c r="Q31" t="s">
        <v>57</v>
      </c>
    </row>
    <row r="32" spans="1:17" s="148" customFormat="1" ht="32.4" customHeight="1">
      <c r="A32" s="148" t="s">
        <v>191</v>
      </c>
      <c r="B32" s="148" t="s">
        <v>187</v>
      </c>
      <c r="D32" s="148" t="s">
        <v>47</v>
      </c>
      <c r="E32" s="148" t="s">
        <v>48</v>
      </c>
      <c r="F32" s="148" t="s">
        <v>49</v>
      </c>
      <c r="G32" s="148" t="s">
        <v>50</v>
      </c>
      <c r="H32" s="148" t="s">
        <v>136</v>
      </c>
      <c r="I32" s="149" t="s">
        <v>192</v>
      </c>
      <c r="J32" s="149" t="s">
        <v>124</v>
      </c>
      <c r="K32" s="148" t="s">
        <v>11</v>
      </c>
      <c r="L32" s="148" t="s">
        <v>23</v>
      </c>
      <c r="M32" t="s">
        <v>193</v>
      </c>
      <c r="O32" s="148" t="s">
        <v>55</v>
      </c>
      <c r="P32" s="150" t="s">
        <v>194</v>
      </c>
      <c r="Q32" t="s">
        <v>57</v>
      </c>
    </row>
    <row r="33" spans="1:17" s="148" customFormat="1" ht="32.4" customHeight="1">
      <c r="A33" s="148" t="s">
        <v>195</v>
      </c>
      <c r="B33" s="148" t="s">
        <v>196</v>
      </c>
      <c r="D33" s="148" t="s">
        <v>47</v>
      </c>
      <c r="E33" s="148" t="s">
        <v>48</v>
      </c>
      <c r="F33" s="148" t="s">
        <v>49</v>
      </c>
      <c r="G33" s="148" t="s">
        <v>50</v>
      </c>
      <c r="H33" s="148" t="s">
        <v>136</v>
      </c>
      <c r="I33" s="149" t="s">
        <v>197</v>
      </c>
      <c r="J33" s="149" t="s">
        <v>124</v>
      </c>
      <c r="K33" s="148" t="s">
        <v>11</v>
      </c>
      <c r="L33" s="148" t="s">
        <v>23</v>
      </c>
      <c r="M33" t="s">
        <v>198</v>
      </c>
      <c r="O33" s="148" t="s">
        <v>55</v>
      </c>
      <c r="P33" s="150" t="s">
        <v>299</v>
      </c>
      <c r="Q33" t="s">
        <v>57</v>
      </c>
    </row>
    <row r="34" spans="1:17" s="148" customFormat="1" ht="32.4" customHeight="1">
      <c r="A34" s="148" t="s">
        <v>199</v>
      </c>
      <c r="D34" s="148" t="s">
        <v>47</v>
      </c>
      <c r="E34" s="148" t="s">
        <v>48</v>
      </c>
      <c r="F34" s="148" t="s">
        <v>49</v>
      </c>
      <c r="G34" s="148" t="s">
        <v>50</v>
      </c>
      <c r="H34" s="148" t="s">
        <v>136</v>
      </c>
      <c r="I34" s="149" t="s">
        <v>200</v>
      </c>
      <c r="J34" s="149" t="s">
        <v>124</v>
      </c>
      <c r="K34" s="148" t="s">
        <v>11</v>
      </c>
      <c r="L34" s="148" t="s">
        <v>23</v>
      </c>
      <c r="M34" s="148" t="s">
        <v>303</v>
      </c>
      <c r="O34" s="148" t="s">
        <v>55</v>
      </c>
      <c r="P34" s="221" t="s">
        <v>303</v>
      </c>
      <c r="Q34" t="s">
        <v>103</v>
      </c>
    </row>
  </sheetData>
  <phoneticPr fontId="34" type="noConversion"/>
  <dataValidations count="2">
    <dataValidation type="list" allowBlank="1" showInputMessage="1" showErrorMessage="1" sqref="O2:O1048576" xr:uid="{00000000-0002-0000-0300-000000000000}">
      <formula1>"Yes,No"</formula1>
    </dataValidation>
    <dataValidation type="list" allowBlank="1" showInputMessage="1" showErrorMessage="1" sqref="Q2:Q1048576" xr:uid="{00000000-0002-0000-0300-000001000000}">
      <formula1>"pass,fail,skipped"</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workbookViewId="0">
      <selection activeCell="B8" sqref="B8:D10"/>
    </sheetView>
  </sheetViews>
  <sheetFormatPr defaultColWidth="9" defaultRowHeight="13.2"/>
  <cols>
    <col min="1" max="1" width="25.21875" style="15" customWidth="1"/>
    <col min="2" max="2" width="24.77734375" style="126" customWidth="1"/>
    <col min="3" max="3" width="11" style="126" customWidth="1"/>
    <col min="4" max="4" width="50" style="126" customWidth="1"/>
    <col min="5" max="7" width="9" style="126" customWidth="1"/>
    <col min="8" max="16384" width="9" style="126"/>
  </cols>
  <sheetData>
    <row r="1" spans="1:7" s="15" customFormat="1" ht="12.45" customHeight="1">
      <c r="A1" s="173" t="s">
        <v>201</v>
      </c>
      <c r="B1" s="174"/>
      <c r="C1" s="174"/>
      <c r="D1" s="175"/>
    </row>
    <row r="2" spans="1:7" s="15" customFormat="1" ht="12.45" customHeight="1">
      <c r="A2" s="176"/>
      <c r="B2" s="177"/>
      <c r="C2" s="177"/>
      <c r="D2" s="178"/>
    </row>
    <row r="3" spans="1:7" s="15" customFormat="1" ht="12.45" customHeight="1">
      <c r="A3" s="176"/>
      <c r="B3" s="177"/>
      <c r="C3" s="177"/>
      <c r="D3" s="178"/>
    </row>
    <row r="4" spans="1:7" s="15" customFormat="1" ht="12.45" customHeight="1">
      <c r="A4" s="176"/>
      <c r="B4" s="177"/>
      <c r="C4" s="177"/>
      <c r="D4" s="178"/>
    </row>
    <row r="5" spans="1:7" s="15" customFormat="1" ht="12.45" customHeight="1">
      <c r="A5" s="179"/>
      <c r="B5" s="180"/>
      <c r="C5" s="180"/>
      <c r="D5" s="181"/>
    </row>
    <row r="6" spans="1:7" s="15" customFormat="1" ht="12.45" customHeight="1"/>
    <row r="7" spans="1:7" s="15" customFormat="1" ht="26.4" customHeight="1">
      <c r="A7" s="65" t="s">
        <v>202</v>
      </c>
      <c r="B7" s="65" t="s">
        <v>203</v>
      </c>
      <c r="C7" s="66" t="s">
        <v>204</v>
      </c>
      <c r="D7" s="67" t="s">
        <v>205</v>
      </c>
    </row>
    <row r="8" spans="1:7" ht="26.4" customHeight="1">
      <c r="A8" s="68" t="s">
        <v>206</v>
      </c>
      <c r="B8" s="142"/>
      <c r="C8" s="142"/>
      <c r="D8" s="142"/>
      <c r="F8" s="143"/>
      <c r="G8" s="143"/>
    </row>
    <row r="9" spans="1:7" ht="26.4" customHeight="1">
      <c r="A9" s="68" t="s">
        <v>206</v>
      </c>
      <c r="B9" s="142"/>
      <c r="C9" s="142"/>
      <c r="D9" s="142"/>
      <c r="F9" s="143"/>
      <c r="G9" s="143"/>
    </row>
    <row r="10" spans="1:7" ht="26.4" customHeight="1">
      <c r="A10" s="68" t="s">
        <v>206</v>
      </c>
      <c r="B10" s="142"/>
      <c r="C10" s="142"/>
      <c r="D10" s="142"/>
    </row>
    <row r="11" spans="1:7" ht="26.4" customHeight="1">
      <c r="A11" s="68" t="s">
        <v>206</v>
      </c>
      <c r="B11" s="142"/>
      <c r="C11" s="142"/>
      <c r="D11" s="142"/>
    </row>
    <row r="12" spans="1:7" ht="26.4" customHeight="1">
      <c r="A12" s="68" t="s">
        <v>206</v>
      </c>
      <c r="B12" s="142"/>
      <c r="C12" s="142"/>
      <c r="D12" s="142"/>
    </row>
    <row r="13" spans="1:7" ht="26.4" customHeight="1">
      <c r="A13" s="68" t="s">
        <v>206</v>
      </c>
      <c r="B13" s="142"/>
      <c r="C13" s="142"/>
      <c r="D13" s="142"/>
    </row>
    <row r="14" spans="1:7" ht="26.4" customHeight="1">
      <c r="A14" s="68" t="s">
        <v>206</v>
      </c>
      <c r="B14" s="142"/>
      <c r="C14" s="142"/>
      <c r="D14" s="142"/>
    </row>
    <row r="15" spans="1:7" ht="26.4" customHeight="1">
      <c r="A15" s="68" t="s">
        <v>206</v>
      </c>
      <c r="B15" s="142"/>
      <c r="C15" s="142"/>
      <c r="D15" s="142"/>
    </row>
    <row r="16" spans="1:7" ht="26.4" customHeight="1">
      <c r="A16" s="68" t="s">
        <v>206</v>
      </c>
      <c r="B16" s="142"/>
      <c r="C16" s="142"/>
      <c r="D16" s="142"/>
    </row>
    <row r="17" spans="1:4" ht="26.4" customHeight="1">
      <c r="A17" s="68" t="s">
        <v>206</v>
      </c>
      <c r="B17" s="142"/>
      <c r="C17" s="142"/>
      <c r="D17" s="142"/>
    </row>
    <row r="18" spans="1:4" ht="26.4" customHeight="1">
      <c r="A18" s="68" t="s">
        <v>206</v>
      </c>
      <c r="B18" s="142"/>
      <c r="C18" s="142"/>
      <c r="D18" s="142"/>
    </row>
    <row r="19" spans="1:4" ht="26.4" customHeight="1">
      <c r="A19" s="68" t="s">
        <v>206</v>
      </c>
      <c r="B19" s="142"/>
      <c r="C19" s="142"/>
      <c r="D19" s="142"/>
    </row>
    <row r="20" spans="1:4" ht="26.4" customHeight="1">
      <c r="A20" s="68" t="s">
        <v>206</v>
      </c>
      <c r="B20" s="142"/>
      <c r="C20" s="142"/>
      <c r="D20" s="142"/>
    </row>
    <row r="21" spans="1:4" ht="26.4" customHeight="1">
      <c r="A21" s="68" t="s">
        <v>206</v>
      </c>
      <c r="B21" s="142"/>
      <c r="C21" s="142"/>
      <c r="D21" s="142"/>
    </row>
    <row r="22" spans="1:4" ht="26.4" customHeight="1">
      <c r="A22" s="68" t="s">
        <v>206</v>
      </c>
      <c r="B22" s="142"/>
      <c r="C22" s="142"/>
      <c r="D22" s="142"/>
    </row>
    <row r="23" spans="1:4" ht="26.4" customHeight="1">
      <c r="A23" s="68" t="s">
        <v>206</v>
      </c>
      <c r="B23" s="142"/>
      <c r="C23" s="142"/>
      <c r="D23" s="142"/>
    </row>
  </sheetData>
  <mergeCells count="1">
    <mergeCell ref="A1:D5"/>
  </mergeCells>
  <phoneticPr fontId="3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61"/>
  <sheetViews>
    <sheetView topLeftCell="A13" zoomScaleNormal="100" workbookViewId="0">
      <selection activeCell="F11" sqref="F11"/>
    </sheetView>
  </sheetViews>
  <sheetFormatPr defaultColWidth="9" defaultRowHeight="13.2"/>
  <cols>
    <col min="1" max="1" width="19.5546875" customWidth="1"/>
    <col min="2" max="2" width="13.77734375" customWidth="1"/>
    <col min="3" max="3" width="18.21875" customWidth="1"/>
    <col min="4" max="4" width="20.77734375" customWidth="1"/>
    <col min="5" max="5" width="20.109375" customWidth="1"/>
    <col min="6" max="6" width="19.77734375" customWidth="1"/>
  </cols>
  <sheetData>
    <row r="1" spans="1:10" ht="26.55" customHeight="1">
      <c r="A1" s="185" t="s">
        <v>207</v>
      </c>
      <c r="B1" s="186"/>
      <c r="C1" s="186"/>
      <c r="D1" s="186"/>
    </row>
    <row r="2" spans="1:10" ht="19.2" customHeight="1">
      <c r="A2" s="191" t="s">
        <v>208</v>
      </c>
      <c r="B2" s="192"/>
      <c r="C2" s="192"/>
      <c r="D2" s="192"/>
      <c r="E2" s="192"/>
      <c r="F2" s="192"/>
      <c r="G2" s="193"/>
    </row>
    <row r="3" spans="1:10" ht="19.2" customHeight="1">
      <c r="A3" s="194"/>
      <c r="B3" s="186"/>
      <c r="C3" s="186"/>
      <c r="D3" s="186"/>
      <c r="E3" s="186"/>
      <c r="F3" s="186"/>
      <c r="G3" s="195"/>
    </row>
    <row r="4" spans="1:10" ht="19.2" customHeight="1">
      <c r="A4" s="194"/>
      <c r="B4" s="186"/>
      <c r="C4" s="186"/>
      <c r="D4" s="186"/>
      <c r="E4" s="186"/>
      <c r="F4" s="186"/>
      <c r="G4" s="195"/>
    </row>
    <row r="5" spans="1:10" ht="19.2" customHeight="1">
      <c r="A5" s="194"/>
      <c r="B5" s="186"/>
      <c r="C5" s="186"/>
      <c r="D5" s="186"/>
      <c r="E5" s="186"/>
      <c r="F5" s="186"/>
      <c r="G5" s="195"/>
    </row>
    <row r="6" spans="1:10" ht="19.2" customHeight="1">
      <c r="A6" s="196"/>
      <c r="B6" s="197"/>
      <c r="C6" s="197"/>
      <c r="D6" s="197"/>
      <c r="E6" s="197"/>
      <c r="F6" s="197"/>
      <c r="G6" s="198"/>
    </row>
    <row r="8" spans="1:10" ht="21" customHeight="1" thickBot="1">
      <c r="A8" s="189" t="s">
        <v>209</v>
      </c>
      <c r="B8" s="190"/>
      <c r="C8" s="190"/>
    </row>
    <row r="9" spans="1:10" ht="28.2" customHeight="1" thickBot="1">
      <c r="A9" s="52" t="s">
        <v>210</v>
      </c>
      <c r="B9" s="53" t="s">
        <v>211</v>
      </c>
      <c r="C9" s="54" t="s">
        <v>212</v>
      </c>
      <c r="D9" s="54" t="s">
        <v>213</v>
      </c>
      <c r="E9" s="55"/>
      <c r="F9" s="55"/>
    </row>
    <row r="10" spans="1:10" ht="33" customHeight="1">
      <c r="A10" s="144" t="s">
        <v>214</v>
      </c>
      <c r="B10" s="145" t="s">
        <v>215</v>
      </c>
      <c r="C10" s="61">
        <v>45453</v>
      </c>
      <c r="D10" s="61" t="s">
        <v>216</v>
      </c>
      <c r="E10" s="59"/>
      <c r="F10" s="59"/>
    </row>
    <row r="11" spans="1:10" ht="27.6" customHeight="1">
      <c r="A11" s="144" t="s">
        <v>217</v>
      </c>
      <c r="B11" s="145" t="s">
        <v>218</v>
      </c>
      <c r="C11" s="61">
        <v>45505</v>
      </c>
      <c r="D11" s="61" t="s">
        <v>219</v>
      </c>
      <c r="E11" s="59"/>
      <c r="F11" s="59"/>
    </row>
    <row r="12" spans="1:10" ht="13.8" customHeight="1">
      <c r="A12" s="146" t="s">
        <v>220</v>
      </c>
      <c r="B12" s="145"/>
      <c r="C12" s="61">
        <v>46183</v>
      </c>
      <c r="D12" s="61" t="s">
        <v>221</v>
      </c>
      <c r="E12" s="15"/>
      <c r="F12" s="15"/>
    </row>
    <row r="13" spans="1:10" ht="13.8" customHeight="1">
      <c r="A13" s="60"/>
      <c r="B13" s="57"/>
      <c r="C13" s="58"/>
      <c r="D13" s="61"/>
      <c r="E13" s="15"/>
      <c r="F13" s="15"/>
    </row>
    <row r="14" spans="1:10" ht="13.8" customHeight="1">
      <c r="A14" s="60"/>
      <c r="B14" s="57"/>
      <c r="C14" s="57"/>
      <c r="D14" s="58"/>
      <c r="E14" s="15"/>
      <c r="F14" s="15"/>
    </row>
    <row r="15" spans="1:10" ht="13.8" customHeight="1">
      <c r="B15" s="15"/>
      <c r="C15" s="15"/>
      <c r="D15" s="15"/>
      <c r="E15" s="15"/>
      <c r="F15" s="55"/>
    </row>
    <row r="16" spans="1:10" ht="23.55" customHeight="1">
      <c r="A16" s="140" t="s">
        <v>222</v>
      </c>
      <c r="B16" s="140"/>
      <c r="C16" s="140"/>
      <c r="F16" s="137"/>
      <c r="G16" s="138"/>
      <c r="J16" s="141" t="s">
        <v>223</v>
      </c>
    </row>
    <row r="17" spans="1:24" ht="13.8" customHeight="1">
      <c r="A17" s="62"/>
      <c r="B17" s="62"/>
      <c r="C17" s="62"/>
      <c r="D17" s="62"/>
      <c r="E17" s="62"/>
      <c r="F17" s="134"/>
      <c r="G17" s="136"/>
      <c r="H17" s="62"/>
      <c r="J17" s="62"/>
      <c r="K17" s="62"/>
      <c r="L17" s="62"/>
      <c r="M17" s="62"/>
      <c r="N17" s="62"/>
      <c r="O17" s="62"/>
      <c r="P17" s="62"/>
      <c r="Q17" s="62"/>
      <c r="R17" s="62"/>
      <c r="S17" s="62"/>
      <c r="T17" s="62"/>
      <c r="U17" s="62"/>
      <c r="V17" s="62"/>
      <c r="W17" s="62"/>
      <c r="X17" s="62"/>
    </row>
    <row r="18" spans="1:24" ht="13.8" customHeight="1">
      <c r="A18" s="62"/>
      <c r="B18" s="62"/>
      <c r="C18" s="62"/>
      <c r="D18" s="62"/>
      <c r="E18" s="62"/>
      <c r="F18" s="134"/>
      <c r="G18" s="135"/>
      <c r="H18" s="62"/>
      <c r="J18" s="62"/>
      <c r="K18" s="62"/>
      <c r="L18" s="62"/>
      <c r="M18" s="62"/>
      <c r="N18" s="62"/>
      <c r="O18" s="62"/>
      <c r="P18" s="62"/>
      <c r="Q18" s="62"/>
      <c r="R18" s="62"/>
      <c r="S18" s="62"/>
      <c r="T18" s="62"/>
      <c r="U18" s="62"/>
      <c r="V18" s="62"/>
      <c r="W18" s="62"/>
      <c r="X18" s="62"/>
    </row>
    <row r="19" spans="1:24" ht="13.8" customHeight="1">
      <c r="A19" s="62"/>
      <c r="B19" s="62"/>
      <c r="C19" s="62"/>
      <c r="D19" s="62"/>
      <c r="E19" s="62"/>
      <c r="F19" s="134"/>
      <c r="G19" s="136"/>
      <c r="H19" s="62"/>
      <c r="J19" s="62"/>
      <c r="K19" s="62"/>
      <c r="L19" s="62"/>
      <c r="M19" s="62"/>
      <c r="N19" s="62"/>
      <c r="O19" s="62"/>
      <c r="P19" s="62"/>
      <c r="Q19" s="62"/>
      <c r="R19" s="62"/>
      <c r="S19" s="62"/>
      <c r="T19" s="62"/>
      <c r="U19" s="62"/>
      <c r="V19" s="62"/>
      <c r="W19" s="62"/>
      <c r="X19" s="62"/>
    </row>
    <row r="20" spans="1:24" ht="13.8" customHeight="1">
      <c r="A20" s="62"/>
      <c r="B20" s="62"/>
      <c r="C20" s="62"/>
      <c r="D20" s="62"/>
      <c r="E20" s="62"/>
      <c r="F20" s="134"/>
      <c r="G20" s="135"/>
      <c r="H20" s="62"/>
      <c r="J20" s="62"/>
      <c r="K20" s="62"/>
      <c r="L20" s="62"/>
      <c r="M20" s="62"/>
      <c r="N20" s="62"/>
      <c r="O20" s="62"/>
      <c r="P20" s="62"/>
      <c r="Q20" s="62"/>
      <c r="R20" s="62"/>
      <c r="S20" s="62"/>
      <c r="T20" s="62"/>
      <c r="U20" s="62"/>
      <c r="V20" s="62"/>
      <c r="W20" s="62"/>
      <c r="X20" s="62"/>
    </row>
    <row r="21" spans="1:24" ht="13.8" customHeight="1">
      <c r="A21" s="62"/>
      <c r="B21" s="62"/>
      <c r="C21" s="62"/>
      <c r="D21" s="62"/>
      <c r="E21" s="62"/>
      <c r="F21" s="134"/>
      <c r="G21" s="136"/>
      <c r="H21" s="62"/>
      <c r="J21" s="62"/>
      <c r="K21" s="62"/>
      <c r="L21" s="62"/>
      <c r="M21" s="62"/>
      <c r="N21" s="62"/>
      <c r="O21" s="62"/>
      <c r="P21" s="62"/>
      <c r="Q21" s="62"/>
      <c r="R21" s="62"/>
      <c r="S21" s="62"/>
      <c r="T21" s="62"/>
      <c r="U21" s="62"/>
      <c r="V21" s="62"/>
      <c r="W21" s="62"/>
      <c r="X21" s="62"/>
    </row>
    <row r="22" spans="1:24">
      <c r="A22" s="62"/>
      <c r="B22" s="62"/>
      <c r="C22" s="62"/>
      <c r="D22" s="62"/>
      <c r="E22" s="62"/>
      <c r="F22" s="62"/>
      <c r="G22" s="62"/>
      <c r="H22" s="62"/>
      <c r="J22" s="62"/>
      <c r="K22" s="62"/>
      <c r="L22" s="62"/>
      <c r="M22" s="62"/>
      <c r="N22" s="62"/>
      <c r="O22" s="62"/>
      <c r="P22" s="62"/>
      <c r="Q22" s="62"/>
      <c r="R22" s="62"/>
      <c r="S22" s="62"/>
      <c r="T22" s="62"/>
      <c r="U22" s="62"/>
      <c r="V22" s="62"/>
      <c r="W22" s="62"/>
      <c r="X22" s="62"/>
    </row>
    <row r="23" spans="1:24">
      <c r="A23" s="62"/>
      <c r="B23" s="62"/>
      <c r="C23" s="62"/>
      <c r="D23" s="62"/>
      <c r="E23" s="62"/>
      <c r="F23" s="62"/>
      <c r="G23" s="62"/>
      <c r="H23" s="62"/>
      <c r="J23" s="62"/>
      <c r="K23" s="62"/>
      <c r="L23" s="62"/>
      <c r="M23" s="62"/>
      <c r="N23" s="62"/>
      <c r="O23" s="62"/>
      <c r="P23" s="62"/>
      <c r="Q23" s="62"/>
      <c r="R23" s="62"/>
      <c r="S23" s="62"/>
      <c r="T23" s="62"/>
      <c r="U23" s="62"/>
      <c r="V23" s="62"/>
      <c r="W23" s="62"/>
      <c r="X23" s="62"/>
    </row>
    <row r="24" spans="1:24">
      <c r="A24" s="62"/>
      <c r="B24" s="62"/>
      <c r="C24" s="62"/>
      <c r="D24" s="62"/>
      <c r="E24" s="62"/>
      <c r="F24" s="62"/>
      <c r="G24" s="62"/>
      <c r="H24" s="62"/>
      <c r="J24" s="62"/>
      <c r="K24" s="62"/>
      <c r="L24" s="62"/>
      <c r="M24" s="62"/>
      <c r="N24" s="62"/>
      <c r="O24" s="62"/>
      <c r="P24" s="62"/>
      <c r="Q24" s="62"/>
      <c r="R24" s="62"/>
      <c r="S24" s="62"/>
      <c r="T24" s="62"/>
      <c r="U24" s="62"/>
      <c r="V24" s="62"/>
      <c r="W24" s="62"/>
      <c r="X24" s="62"/>
    </row>
    <row r="25" spans="1:24">
      <c r="A25" s="62"/>
      <c r="B25" s="62"/>
      <c r="C25" s="62"/>
      <c r="D25" s="62"/>
      <c r="E25" s="62"/>
      <c r="F25" s="62"/>
      <c r="G25" s="62"/>
      <c r="H25" s="62"/>
      <c r="J25" s="62"/>
      <c r="K25" s="62"/>
      <c r="L25" s="62"/>
      <c r="M25" s="62"/>
      <c r="N25" s="62"/>
      <c r="O25" s="62"/>
      <c r="P25" s="62"/>
      <c r="Q25" s="62"/>
      <c r="R25" s="62"/>
      <c r="S25" s="62"/>
      <c r="T25" s="62"/>
      <c r="U25" s="62"/>
      <c r="V25" s="62"/>
      <c r="W25" s="62"/>
      <c r="X25" s="62"/>
    </row>
    <row r="26" spans="1:24">
      <c r="A26" s="62"/>
      <c r="B26" s="62"/>
      <c r="C26" s="62"/>
      <c r="D26" s="62"/>
      <c r="E26" s="62"/>
      <c r="F26" s="62"/>
      <c r="G26" s="62"/>
      <c r="H26" s="62"/>
      <c r="J26" s="62"/>
      <c r="K26" s="62"/>
      <c r="L26" s="62"/>
      <c r="M26" s="62"/>
      <c r="N26" s="62"/>
      <c r="O26" s="62"/>
      <c r="P26" s="62"/>
      <c r="Q26" s="62"/>
      <c r="R26" s="62"/>
      <c r="S26" s="62"/>
      <c r="T26" s="62"/>
      <c r="U26" s="62"/>
      <c r="V26" s="62"/>
      <c r="W26" s="62"/>
      <c r="X26" s="62"/>
    </row>
    <row r="27" spans="1:24">
      <c r="A27" s="62"/>
      <c r="B27" s="62"/>
      <c r="C27" s="62"/>
      <c r="D27" s="62"/>
      <c r="E27" s="62"/>
      <c r="F27" s="62"/>
      <c r="G27" s="62"/>
      <c r="H27" s="62"/>
      <c r="J27" s="62"/>
      <c r="K27" s="62"/>
      <c r="L27" s="62"/>
      <c r="M27" s="62"/>
      <c r="N27" s="62"/>
      <c r="O27" s="62"/>
      <c r="P27" s="62"/>
      <c r="Q27" s="62"/>
      <c r="R27" s="62"/>
      <c r="S27" s="62"/>
      <c r="T27" s="62"/>
      <c r="U27" s="62"/>
      <c r="V27" s="62"/>
      <c r="W27" s="62"/>
      <c r="X27" s="62"/>
    </row>
    <row r="28" spans="1:24">
      <c r="A28" s="62"/>
      <c r="B28" s="62"/>
      <c r="C28" s="62"/>
      <c r="D28" s="62"/>
      <c r="E28" s="62"/>
      <c r="F28" s="62"/>
      <c r="G28" s="62"/>
      <c r="H28" s="62"/>
      <c r="J28" s="62"/>
      <c r="K28" s="62"/>
      <c r="L28" s="62"/>
      <c r="M28" s="62"/>
      <c r="N28" s="62"/>
      <c r="O28" s="62"/>
      <c r="P28" s="62"/>
      <c r="Q28" s="62"/>
      <c r="R28" s="62"/>
      <c r="S28" s="62"/>
      <c r="T28" s="62"/>
      <c r="U28" s="62"/>
      <c r="V28" s="62"/>
      <c r="W28" s="62"/>
      <c r="X28" s="62"/>
    </row>
    <row r="29" spans="1:24" ht="16.5" customHeight="1"/>
    <row r="30" spans="1:24" ht="20.399999999999999" customHeight="1">
      <c r="A30" s="140" t="s">
        <v>224</v>
      </c>
      <c r="B30" s="140"/>
      <c r="C30" s="140"/>
    </row>
    <row r="31" spans="1:24">
      <c r="A31" s="62"/>
      <c r="B31" s="62"/>
      <c r="C31" s="62"/>
      <c r="D31" s="62"/>
      <c r="E31" s="62"/>
      <c r="F31" s="62"/>
      <c r="G31" s="62"/>
      <c r="H31" s="62"/>
    </row>
    <row r="32" spans="1:24">
      <c r="A32" s="62"/>
      <c r="B32" s="62"/>
      <c r="C32" s="62"/>
      <c r="D32" s="62"/>
      <c r="E32" s="62"/>
      <c r="F32" s="62"/>
      <c r="G32" s="62"/>
      <c r="H32" s="62"/>
    </row>
    <row r="33" spans="1:9">
      <c r="A33" s="62"/>
      <c r="B33" s="62"/>
      <c r="C33" s="62"/>
      <c r="D33" s="62"/>
      <c r="E33" s="62"/>
      <c r="F33" s="62"/>
      <c r="G33" s="62"/>
      <c r="H33" s="62"/>
    </row>
    <row r="34" spans="1:9" ht="13.5" customHeight="1">
      <c r="A34" s="62"/>
      <c r="B34" s="62"/>
      <c r="C34" s="62"/>
      <c r="D34" s="62"/>
      <c r="E34" s="62"/>
      <c r="F34" s="62"/>
      <c r="G34" s="62"/>
      <c r="H34" s="62"/>
    </row>
    <row r="35" spans="1:9" s="51" customFormat="1">
      <c r="A35" s="139"/>
      <c r="B35" s="139"/>
      <c r="C35" s="139"/>
      <c r="D35" s="139"/>
      <c r="E35" s="139"/>
      <c r="F35" s="139"/>
      <c r="G35" s="139"/>
      <c r="H35" s="139"/>
    </row>
    <row r="36" spans="1:9" s="51" customFormat="1">
      <c r="A36" s="139"/>
      <c r="B36" s="139"/>
      <c r="C36" s="139"/>
      <c r="D36" s="139"/>
      <c r="E36" s="139"/>
      <c r="F36" s="139"/>
      <c r="G36" s="139"/>
      <c r="H36" s="139"/>
    </row>
    <row r="37" spans="1:9" s="51" customFormat="1">
      <c r="A37" s="139"/>
      <c r="B37" s="139"/>
      <c r="C37" s="139"/>
      <c r="D37" s="139"/>
      <c r="E37" s="139"/>
      <c r="F37" s="139"/>
      <c r="G37" s="139"/>
      <c r="H37" s="139"/>
    </row>
    <row r="38" spans="1:9">
      <c r="A38" s="62"/>
      <c r="B38" s="62"/>
      <c r="C38" s="62"/>
      <c r="D38" s="62"/>
      <c r="E38" s="62"/>
      <c r="F38" s="62"/>
      <c r="G38" s="62"/>
      <c r="H38" s="62"/>
    </row>
    <row r="39" spans="1:9">
      <c r="A39" s="62"/>
      <c r="B39" s="62"/>
      <c r="C39" s="62"/>
      <c r="D39" s="62"/>
      <c r="E39" s="62"/>
      <c r="F39" s="62"/>
      <c r="G39" s="62"/>
      <c r="H39" s="62"/>
    </row>
    <row r="40" spans="1:9">
      <c r="A40" s="62"/>
      <c r="B40" s="62"/>
      <c r="C40" s="62"/>
      <c r="D40" s="62"/>
      <c r="E40" s="62"/>
      <c r="F40" s="62"/>
      <c r="G40" s="62"/>
      <c r="H40" s="62"/>
    </row>
    <row r="41" spans="1:9">
      <c r="A41" s="62"/>
      <c r="B41" s="62"/>
      <c r="C41" s="62"/>
      <c r="D41" s="62"/>
      <c r="E41" s="62"/>
      <c r="F41" s="62"/>
      <c r="G41" s="62"/>
      <c r="H41" s="62"/>
    </row>
    <row r="43" spans="1:9" ht="21" customHeight="1" thickBot="1">
      <c r="A43" s="199" t="s">
        <v>225</v>
      </c>
      <c r="B43" s="190"/>
      <c r="C43" s="190"/>
    </row>
    <row r="44" spans="1:9" ht="14.4" customHeight="1" thickBot="1">
      <c r="A44" s="52" t="s">
        <v>226</v>
      </c>
      <c r="B44" s="53" t="s">
        <v>227</v>
      </c>
      <c r="C44" s="53" t="s">
        <v>228</v>
      </c>
      <c r="D44" s="53" t="s">
        <v>229</v>
      </c>
      <c r="E44" s="53" t="s">
        <v>230</v>
      </c>
      <c r="F44" s="54" t="s">
        <v>231</v>
      </c>
    </row>
    <row r="45" spans="1:9" ht="14.4" customHeight="1" thickBot="1">
      <c r="A45" s="56" t="s">
        <v>232</v>
      </c>
      <c r="B45" s="57" t="s">
        <v>233</v>
      </c>
      <c r="C45" s="57" t="s">
        <v>234</v>
      </c>
      <c r="D45" s="57" t="s">
        <v>235</v>
      </c>
      <c r="E45" s="57" t="s">
        <v>236</v>
      </c>
      <c r="F45" s="57"/>
    </row>
    <row r="46" spans="1:9" ht="14.4" customHeight="1" thickBot="1">
      <c r="A46" s="57"/>
      <c r="B46" s="57"/>
      <c r="C46" s="57"/>
      <c r="D46" s="57"/>
      <c r="E46" s="57"/>
      <c r="F46" s="57"/>
    </row>
    <row r="47" spans="1:9" ht="14.4" customHeight="1" thickBot="1">
      <c r="A47" s="57"/>
      <c r="B47" s="57"/>
      <c r="C47" s="57"/>
      <c r="D47" s="57"/>
      <c r="E47" s="57"/>
      <c r="F47" s="57"/>
    </row>
    <row r="48" spans="1:9" ht="14.4" customHeight="1" thickBot="1">
      <c r="A48" s="56"/>
      <c r="B48" s="57"/>
      <c r="C48" s="57"/>
      <c r="D48" s="57"/>
      <c r="E48" s="57"/>
      <c r="F48" s="57"/>
      <c r="H48" s="51"/>
      <c r="I48" s="51"/>
    </row>
    <row r="49" spans="1:12" ht="13.8" customHeight="1">
      <c r="A49" s="63"/>
      <c r="B49" s="63"/>
      <c r="C49" s="63"/>
      <c r="D49" s="63"/>
      <c r="E49" s="64"/>
      <c r="F49" s="51"/>
      <c r="G49" s="51"/>
      <c r="H49" s="51"/>
      <c r="I49" s="51"/>
    </row>
    <row r="50" spans="1:12" ht="21" customHeight="1" thickBot="1">
      <c r="A50" s="199" t="s">
        <v>237</v>
      </c>
      <c r="B50" s="190"/>
      <c r="C50" s="190"/>
    </row>
    <row r="51" spans="1:12" ht="14.4" customHeight="1" thickBot="1">
      <c r="A51" s="52" t="s">
        <v>238</v>
      </c>
      <c r="B51" s="187" t="s">
        <v>239</v>
      </c>
      <c r="C51" s="188"/>
      <c r="D51" s="188"/>
      <c r="E51" s="188"/>
      <c r="F51" s="188"/>
      <c r="G51" s="188"/>
      <c r="H51" s="188"/>
      <c r="I51" s="188"/>
    </row>
    <row r="52" spans="1:12" ht="14.4" customHeight="1" thickBot="1">
      <c r="A52" s="57" t="s">
        <v>240</v>
      </c>
      <c r="B52" s="182" t="s">
        <v>241</v>
      </c>
      <c r="C52" s="183"/>
      <c r="D52" s="183"/>
      <c r="E52" s="183"/>
      <c r="F52" s="183"/>
      <c r="G52" s="183"/>
      <c r="H52" s="183"/>
      <c r="I52" s="184"/>
    </row>
    <row r="53" spans="1:12" ht="14.4" customHeight="1" thickBot="1">
      <c r="A53" s="57" t="s">
        <v>242</v>
      </c>
      <c r="B53" s="182" t="s">
        <v>241</v>
      </c>
      <c r="C53" s="183"/>
      <c r="D53" s="183"/>
      <c r="E53" s="183"/>
      <c r="F53" s="183"/>
      <c r="G53" s="183"/>
      <c r="H53" s="183"/>
      <c r="I53" s="184"/>
    </row>
    <row r="54" spans="1:12" ht="14.4" customHeight="1" thickBot="1">
      <c r="A54" s="57" t="s">
        <v>243</v>
      </c>
      <c r="B54" s="182" t="s">
        <v>244</v>
      </c>
      <c r="C54" s="183"/>
      <c r="D54" s="183"/>
      <c r="E54" s="183"/>
      <c r="F54" s="183"/>
      <c r="G54" s="183"/>
      <c r="H54" s="183"/>
      <c r="I54" s="184"/>
    </row>
    <row r="55" spans="1:12" ht="14.4" customHeight="1" thickBot="1">
      <c r="A55" s="57" t="s">
        <v>245</v>
      </c>
      <c r="B55" s="182" t="s">
        <v>246</v>
      </c>
      <c r="C55" s="183"/>
      <c r="D55" s="183"/>
      <c r="E55" s="183"/>
      <c r="F55" s="183"/>
      <c r="G55" s="183"/>
      <c r="H55" s="183"/>
      <c r="I55" s="184"/>
    </row>
    <row r="56" spans="1:12" ht="14.4" customHeight="1" thickBot="1">
      <c r="A56" s="57" t="s">
        <v>247</v>
      </c>
      <c r="B56" s="182" t="s">
        <v>248</v>
      </c>
      <c r="C56" s="183"/>
      <c r="D56" s="183"/>
      <c r="E56" s="183"/>
      <c r="F56" s="183"/>
      <c r="G56" s="183"/>
      <c r="H56" s="183"/>
      <c r="I56" s="184"/>
      <c r="J56" s="51"/>
    </row>
    <row r="57" spans="1:12" ht="14.4" customHeight="1" thickBot="1">
      <c r="A57" s="57" t="s">
        <v>249</v>
      </c>
      <c r="B57" s="182" t="s">
        <v>250</v>
      </c>
      <c r="C57" s="183"/>
      <c r="D57" s="183"/>
      <c r="E57" s="183"/>
      <c r="F57" s="183"/>
      <c r="G57" s="183"/>
      <c r="H57" s="183"/>
      <c r="I57" s="184"/>
      <c r="J57" s="51"/>
    </row>
    <row r="58" spans="1:12" ht="14.4" customHeight="1" thickBot="1">
      <c r="A58" s="57" t="s">
        <v>251</v>
      </c>
      <c r="B58" s="182" t="s">
        <v>252</v>
      </c>
      <c r="C58" s="183"/>
      <c r="D58" s="183"/>
      <c r="E58" s="183"/>
      <c r="F58" s="183"/>
      <c r="G58" s="183"/>
      <c r="H58" s="183"/>
      <c r="I58" s="184"/>
    </row>
    <row r="59" spans="1:12" ht="14.4" customHeight="1" thickBot="1">
      <c r="A59" s="57" t="s">
        <v>253</v>
      </c>
      <c r="B59" s="182" t="s">
        <v>254</v>
      </c>
      <c r="C59" s="183"/>
      <c r="D59" s="183"/>
      <c r="E59" s="183"/>
      <c r="F59" s="183"/>
      <c r="G59" s="183"/>
      <c r="H59" s="183"/>
      <c r="I59" s="184"/>
      <c r="K59" s="51"/>
      <c r="L59" s="51"/>
    </row>
    <row r="60" spans="1:12">
      <c r="K60" s="51"/>
      <c r="L60" s="51"/>
    </row>
    <row r="61" spans="1:12">
      <c r="K61" s="51"/>
      <c r="L61" s="51"/>
    </row>
  </sheetData>
  <mergeCells count="14">
    <mergeCell ref="B59:I59"/>
    <mergeCell ref="A50:C50"/>
    <mergeCell ref="B57:I57"/>
    <mergeCell ref="A43:C43"/>
    <mergeCell ref="B58:I58"/>
    <mergeCell ref="A1:D1"/>
    <mergeCell ref="B56:I56"/>
    <mergeCell ref="B52:I52"/>
    <mergeCell ref="B53:I53"/>
    <mergeCell ref="B55:I55"/>
    <mergeCell ref="B51:I51"/>
    <mergeCell ref="B54:I54"/>
    <mergeCell ref="A8:C8"/>
    <mergeCell ref="A2:G6"/>
  </mergeCells>
  <phoneticPr fontId="34"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94"/>
  <sheetViews>
    <sheetView topLeftCell="A7" zoomScale="85" zoomScaleNormal="85" workbookViewId="0">
      <selection activeCell="D12" sqref="D12:E12"/>
    </sheetView>
  </sheetViews>
  <sheetFormatPr defaultColWidth="9" defaultRowHeight="13.2"/>
  <cols>
    <col min="1" max="1" width="7.21875" style="14" customWidth="1"/>
    <col min="2" max="2" width="25.109375" customWidth="1"/>
    <col min="3" max="3" width="34.5546875" customWidth="1"/>
    <col min="4" max="4" width="25.33203125" customWidth="1"/>
    <col min="5" max="5" width="23.33203125" customWidth="1"/>
    <col min="6" max="6" width="23.5546875" customWidth="1"/>
    <col min="7" max="7" width="24.77734375" customWidth="1"/>
  </cols>
  <sheetData>
    <row r="1" spans="1:13" ht="24" customHeight="1">
      <c r="A1" s="15"/>
      <c r="B1" s="204" t="s">
        <v>255</v>
      </c>
      <c r="C1" s="205"/>
      <c r="D1" s="205"/>
      <c r="E1" s="206"/>
      <c r="F1" s="15"/>
      <c r="G1" s="15"/>
      <c r="H1" s="15"/>
      <c r="I1" s="15"/>
      <c r="J1" s="15"/>
      <c r="K1" s="15"/>
      <c r="L1" s="15"/>
      <c r="M1" s="15"/>
    </row>
    <row r="2" spans="1:13" ht="46.8" customHeight="1">
      <c r="A2" s="15"/>
      <c r="B2" s="209" t="s">
        <v>256</v>
      </c>
      <c r="C2" s="16" t="s">
        <v>257</v>
      </c>
      <c r="D2" s="200" t="s">
        <v>48</v>
      </c>
      <c r="E2" s="201"/>
      <c r="F2" s="15"/>
      <c r="G2" s="15"/>
      <c r="H2" s="15"/>
      <c r="I2" s="15"/>
      <c r="J2" s="15"/>
      <c r="K2" s="15"/>
      <c r="L2" s="15"/>
      <c r="M2" s="15"/>
    </row>
    <row r="3" spans="1:13" ht="30.75" customHeight="1">
      <c r="A3" s="15"/>
      <c r="B3" s="210"/>
      <c r="C3" s="16" t="s">
        <v>258</v>
      </c>
      <c r="D3" s="200" t="s">
        <v>259</v>
      </c>
      <c r="E3" s="201"/>
      <c r="F3" s="15"/>
      <c r="G3" s="15"/>
      <c r="H3" s="15"/>
      <c r="I3" s="15"/>
      <c r="J3" s="15"/>
      <c r="K3" s="15"/>
      <c r="L3" s="15"/>
      <c r="M3" s="15"/>
    </row>
    <row r="4" spans="1:13" ht="30.75" customHeight="1">
      <c r="A4" s="15"/>
      <c r="B4" s="210"/>
      <c r="C4" s="16" t="s">
        <v>260</v>
      </c>
      <c r="D4" s="111">
        <v>45920</v>
      </c>
      <c r="E4" s="119">
        <v>45924</v>
      </c>
      <c r="F4" s="15"/>
      <c r="G4" s="15"/>
      <c r="H4" s="15"/>
      <c r="I4" s="15"/>
      <c r="J4" s="15"/>
      <c r="K4" s="15"/>
      <c r="L4" s="15"/>
      <c r="M4" s="15"/>
    </row>
    <row r="5" spans="1:13" ht="25.5" customHeight="1">
      <c r="A5" s="15"/>
      <c r="B5" s="211"/>
      <c r="C5" s="17" t="s">
        <v>261</v>
      </c>
      <c r="D5" s="208" t="s">
        <v>262</v>
      </c>
      <c r="E5" s="201"/>
      <c r="F5" s="19"/>
      <c r="G5" s="15"/>
      <c r="H5" s="15"/>
      <c r="I5" s="15"/>
      <c r="J5" s="15"/>
      <c r="K5" s="15"/>
      <c r="L5" s="15"/>
      <c r="M5" s="15"/>
    </row>
    <row r="6" spans="1:13" ht="28.8" customHeight="1">
      <c r="A6" s="15"/>
      <c r="B6" s="209" t="s">
        <v>263</v>
      </c>
      <c r="C6" s="16" t="s">
        <v>264</v>
      </c>
      <c r="D6" s="200">
        <f>COUNTA('Test Case Report'!A:A)-1</f>
        <v>33</v>
      </c>
      <c r="E6" s="201"/>
      <c r="F6" s="15"/>
      <c r="G6" s="15"/>
      <c r="H6" s="15"/>
      <c r="I6" s="15"/>
      <c r="J6" s="15"/>
      <c r="K6" s="15"/>
      <c r="L6" s="15"/>
      <c r="M6" s="15"/>
    </row>
    <row r="7" spans="1:13" ht="52.05" customHeight="1">
      <c r="A7" s="15"/>
      <c r="B7" s="210"/>
      <c r="C7" s="16" t="s">
        <v>265</v>
      </c>
      <c r="D7" s="101">
        <f>COUNTIF(INDEX('Test Case Report'!$A:$ZZ,0,MATCH("Select or Not*是否测试",'Test Case Report'!$1:$1,0)),"Yes")</f>
        <v>33</v>
      </c>
      <c r="E7" s="123">
        <f>D7/D6</f>
        <v>1</v>
      </c>
      <c r="F7" s="19"/>
      <c r="G7" s="15"/>
      <c r="H7" s="15"/>
      <c r="I7" s="15"/>
      <c r="J7" s="15"/>
      <c r="K7" s="15"/>
      <c r="L7" s="15"/>
      <c r="M7" s="15"/>
    </row>
    <row r="8" spans="1:13" ht="27" customHeight="1">
      <c r="A8" s="15"/>
      <c r="B8" s="210"/>
      <c r="C8" s="16" t="s">
        <v>266</v>
      </c>
      <c r="D8" s="101">
        <f>COUNTIF(INDEX('Test Case Report'!$A:$ZZ,0,MATCH("Test Result*测试结果",'Test Case Report'!$1:$1,0)),"pass")</f>
        <v>31</v>
      </c>
      <c r="E8" s="123">
        <f>D8/D7</f>
        <v>0.93939393939393945</v>
      </c>
      <c r="F8" s="15"/>
      <c r="G8" s="15"/>
      <c r="H8" s="15"/>
      <c r="I8" s="15"/>
      <c r="J8" s="15"/>
      <c r="K8" s="15"/>
      <c r="L8" s="15"/>
      <c r="M8" s="15"/>
    </row>
    <row r="9" spans="1:13" ht="28.8" customHeight="1">
      <c r="A9" s="15"/>
      <c r="B9" s="210"/>
      <c r="C9" s="16" t="s">
        <v>267</v>
      </c>
      <c r="D9" s="101">
        <f>D7-D8</f>
        <v>2</v>
      </c>
      <c r="E9" s="123">
        <f>D9/D7</f>
        <v>6.0606060606060608E-2</v>
      </c>
      <c r="F9" s="21"/>
      <c r="G9" s="15"/>
      <c r="H9" s="15"/>
      <c r="I9" s="15"/>
      <c r="J9" s="15"/>
      <c r="K9" s="15"/>
      <c r="L9" s="15"/>
      <c r="M9" s="15"/>
    </row>
    <row r="10" spans="1:13" ht="63" customHeight="1">
      <c r="A10" s="15"/>
      <c r="B10" s="211"/>
      <c r="C10" s="22" t="s">
        <v>268</v>
      </c>
      <c r="D10" s="101">
        <f>D6-D7</f>
        <v>0</v>
      </c>
      <c r="E10" s="123">
        <f>D10/D7</f>
        <v>0</v>
      </c>
      <c r="F10" s="19"/>
      <c r="G10" s="19"/>
      <c r="H10" s="19"/>
      <c r="I10" s="19"/>
      <c r="J10" s="19"/>
      <c r="K10" s="19"/>
      <c r="L10" s="19"/>
      <c r="M10" s="23"/>
    </row>
    <row r="11" spans="1:13" ht="54" customHeight="1">
      <c r="A11" s="15"/>
      <c r="B11" s="209" t="s">
        <v>269</v>
      </c>
      <c r="C11" s="16" t="s">
        <v>270</v>
      </c>
      <c r="D11" s="207">
        <v>2</v>
      </c>
      <c r="E11" s="201"/>
      <c r="F11" s="21"/>
      <c r="G11" s="15"/>
      <c r="H11" s="15"/>
      <c r="I11" s="15"/>
      <c r="J11" s="15"/>
      <c r="K11" s="15"/>
      <c r="L11" s="15"/>
      <c r="M11" s="15"/>
    </row>
    <row r="12" spans="1:13" ht="54" customHeight="1">
      <c r="A12" s="15"/>
      <c r="B12" s="210"/>
      <c r="C12" s="16" t="s">
        <v>271</v>
      </c>
      <c r="D12" s="207">
        <v>0</v>
      </c>
      <c r="E12" s="201"/>
      <c r="F12" s="21"/>
      <c r="G12" s="15"/>
      <c r="H12" s="15"/>
      <c r="I12" s="15"/>
      <c r="J12" s="15"/>
      <c r="K12" s="15"/>
      <c r="L12" s="15"/>
      <c r="M12" s="15"/>
    </row>
    <row r="13" spans="1:13" ht="54" customHeight="1">
      <c r="A13" s="15"/>
      <c r="B13" s="210"/>
      <c r="C13" s="16" t="s">
        <v>272</v>
      </c>
      <c r="D13" s="207">
        <v>1</v>
      </c>
      <c r="E13" s="201"/>
      <c r="F13" s="21"/>
      <c r="G13" s="15"/>
      <c r="H13" s="15"/>
      <c r="I13" s="15"/>
      <c r="J13" s="15"/>
      <c r="K13" s="15"/>
      <c r="L13" s="15"/>
      <c r="M13" s="15"/>
    </row>
    <row r="14" spans="1:13" ht="54" customHeight="1">
      <c r="A14" s="15"/>
      <c r="B14" s="211"/>
      <c r="C14" s="16" t="s">
        <v>273</v>
      </c>
      <c r="D14" s="207">
        <v>0</v>
      </c>
      <c r="E14" s="201"/>
      <c r="F14" s="21"/>
      <c r="G14" s="15"/>
      <c r="H14" s="15"/>
      <c r="I14" s="15"/>
      <c r="J14" s="15"/>
      <c r="K14" s="15"/>
      <c r="L14" s="15"/>
      <c r="M14" s="15"/>
    </row>
    <row r="15" spans="1:13" ht="36.75" customHeight="1">
      <c r="A15" s="15"/>
      <c r="B15" s="212" t="s">
        <v>274</v>
      </c>
      <c r="C15" s="16" t="s">
        <v>275</v>
      </c>
      <c r="D15" s="200"/>
      <c r="E15" s="201"/>
      <c r="F15" s="15"/>
      <c r="G15" s="15"/>
      <c r="H15" s="15"/>
      <c r="I15" s="15"/>
      <c r="J15" s="15"/>
      <c r="K15" s="15"/>
      <c r="L15" s="15"/>
      <c r="M15" s="15"/>
    </row>
    <row r="16" spans="1:13" ht="38.549999999999997" customHeight="1" thickBot="1">
      <c r="A16" s="15"/>
      <c r="B16" s="211"/>
      <c r="C16" s="120" t="s">
        <v>276</v>
      </c>
      <c r="D16" s="202"/>
      <c r="E16" s="203"/>
      <c r="F16" s="23"/>
      <c r="G16" s="15"/>
    </row>
    <row r="17" spans="1:13">
      <c r="A17" s="24"/>
    </row>
    <row r="18" spans="1:13" ht="13.95" customHeight="1">
      <c r="A18" s="24"/>
      <c r="B18" s="15"/>
    </row>
    <row r="19" spans="1:13" ht="13.8" customHeight="1" thickBot="1">
      <c r="A19" s="24"/>
      <c r="B19" s="15"/>
      <c r="C19" s="15"/>
      <c r="D19" s="15"/>
      <c r="E19" s="15"/>
      <c r="F19" s="15"/>
    </row>
    <row r="20" spans="1:13" ht="28.8" customHeight="1">
      <c r="A20" s="24"/>
      <c r="B20" s="25" t="s">
        <v>277</v>
      </c>
      <c r="C20" s="26" t="s">
        <v>278</v>
      </c>
      <c r="D20" s="26" t="s">
        <v>279</v>
      </c>
      <c r="E20" s="39" t="s">
        <v>280</v>
      </c>
      <c r="F20" s="115" t="s">
        <v>281</v>
      </c>
      <c r="G20" s="112" t="s">
        <v>282</v>
      </c>
    </row>
    <row r="21" spans="1:13" ht="26.4" customHeight="1">
      <c r="A21" s="24"/>
      <c r="B21" s="27" t="s">
        <v>283</v>
      </c>
      <c r="C21" s="18">
        <v>40</v>
      </c>
      <c r="D21" s="18">
        <f>D6</f>
        <v>33</v>
      </c>
      <c r="E21" s="28">
        <v>1</v>
      </c>
      <c r="F21" s="124">
        <v>25</v>
      </c>
      <c r="G21" s="123">
        <f>F21/C21</f>
        <v>0.625</v>
      </c>
    </row>
    <row r="22" spans="1:13">
      <c r="A22" s="24"/>
      <c r="B22" s="30"/>
      <c r="C22" s="31"/>
      <c r="D22" s="31"/>
      <c r="E22" s="32"/>
      <c r="F22" s="116"/>
      <c r="G22" s="113"/>
    </row>
    <row r="23" spans="1:13">
      <c r="A23" s="24"/>
      <c r="B23" s="27"/>
      <c r="C23" s="33"/>
      <c r="D23" s="33"/>
      <c r="E23" s="34"/>
      <c r="F23" s="117"/>
      <c r="G23" s="113"/>
    </row>
    <row r="24" spans="1:13">
      <c r="A24" s="24"/>
      <c r="B24" s="27"/>
      <c r="C24" s="33"/>
      <c r="D24" s="33"/>
      <c r="E24" s="34"/>
      <c r="F24" s="117"/>
      <c r="G24" s="113"/>
    </row>
    <row r="25" spans="1:13">
      <c r="A25" s="24"/>
      <c r="B25" s="27"/>
      <c r="C25" s="33"/>
      <c r="D25" s="33"/>
      <c r="E25" s="34"/>
      <c r="F25" s="117"/>
      <c r="G25" s="113"/>
    </row>
    <row r="26" spans="1:13" ht="13.8" customHeight="1" thickBot="1">
      <c r="A26" s="24"/>
      <c r="B26" s="35"/>
      <c r="C26" s="36"/>
      <c r="D26" s="36"/>
      <c r="E26" s="37"/>
      <c r="F26" s="118"/>
      <c r="G26" s="114"/>
      <c r="J26" s="15"/>
      <c r="K26" s="15"/>
      <c r="L26" s="15"/>
      <c r="M26" s="15"/>
    </row>
    <row r="27" spans="1:13">
      <c r="A27" s="24"/>
      <c r="B27" s="15"/>
      <c r="C27" s="15"/>
      <c r="D27" s="15"/>
      <c r="E27" s="15"/>
      <c r="F27" s="15"/>
      <c r="J27" s="15"/>
      <c r="K27" s="15"/>
      <c r="L27" s="15"/>
      <c r="M27" s="15"/>
    </row>
    <row r="28" spans="1:13">
      <c r="A28" s="24"/>
      <c r="B28" s="15"/>
      <c r="C28" s="15"/>
      <c r="D28" s="15"/>
      <c r="E28" s="15"/>
      <c r="F28" s="15"/>
      <c r="I28" s="15"/>
      <c r="J28" s="15"/>
      <c r="K28" s="15"/>
      <c r="L28" s="15"/>
      <c r="M28" s="15"/>
    </row>
    <row r="29" spans="1:13">
      <c r="A29" s="15"/>
      <c r="B29" s="15"/>
      <c r="C29" s="15"/>
      <c r="D29" s="15"/>
      <c r="E29" s="15"/>
      <c r="F29" s="15"/>
      <c r="G29" s="15"/>
      <c r="H29" s="15"/>
      <c r="I29" s="15"/>
      <c r="J29" s="15"/>
      <c r="K29" s="15"/>
      <c r="L29" s="15"/>
      <c r="M29" s="15"/>
    </row>
    <row r="30" spans="1:13">
      <c r="A30" s="15"/>
      <c r="B30" s="25" t="s">
        <v>284</v>
      </c>
      <c r="C30" s="38" t="s">
        <v>285</v>
      </c>
      <c r="D30" s="38" t="s">
        <v>286</v>
      </c>
      <c r="E30" s="26" t="s">
        <v>287</v>
      </c>
      <c r="F30" s="39" t="s">
        <v>288</v>
      </c>
      <c r="G30" s="40" t="s">
        <v>289</v>
      </c>
      <c r="H30" s="15"/>
      <c r="J30" s="15"/>
      <c r="K30" s="15"/>
      <c r="L30" s="15"/>
      <c r="M30" s="15"/>
    </row>
    <row r="31" spans="1:13">
      <c r="A31" s="15"/>
      <c r="B31" s="41"/>
      <c r="C31" s="20"/>
      <c r="D31" s="20"/>
      <c r="E31" s="20"/>
      <c r="F31" s="42"/>
      <c r="G31" s="43"/>
      <c r="H31" s="15"/>
      <c r="J31" s="15"/>
      <c r="K31" s="15"/>
      <c r="L31" s="15"/>
      <c r="M31" s="15"/>
    </row>
    <row r="32" spans="1:13">
      <c r="A32" s="15"/>
      <c r="B32" s="41"/>
      <c r="C32" s="20"/>
      <c r="D32" s="20"/>
      <c r="E32" s="20"/>
      <c r="F32" s="42"/>
      <c r="G32" s="43"/>
      <c r="H32" s="15"/>
      <c r="J32" s="15"/>
      <c r="K32" s="15"/>
      <c r="L32" s="15"/>
      <c r="M32" s="15"/>
    </row>
    <row r="33" spans="1:13">
      <c r="A33" s="15"/>
      <c r="B33" s="41"/>
      <c r="C33" s="20"/>
      <c r="D33" s="20"/>
      <c r="E33" s="20"/>
      <c r="F33" s="42"/>
      <c r="G33" s="43"/>
      <c r="H33" s="15"/>
      <c r="J33" s="15"/>
      <c r="K33" s="15"/>
      <c r="L33" s="15"/>
      <c r="M33" s="15"/>
    </row>
    <row r="34" spans="1:13">
      <c r="A34" s="15"/>
      <c r="B34" s="41"/>
      <c r="C34" s="20"/>
      <c r="D34" s="20"/>
      <c r="E34" s="20"/>
      <c r="F34" s="42"/>
      <c r="G34" s="43"/>
      <c r="H34" s="15"/>
      <c r="J34" s="15"/>
      <c r="K34" s="15"/>
      <c r="L34" s="15"/>
      <c r="M34" s="15"/>
    </row>
    <row r="35" spans="1:13">
      <c r="A35" s="15"/>
      <c r="B35" s="44"/>
      <c r="C35" s="29"/>
      <c r="D35" s="29"/>
      <c r="E35" s="29"/>
      <c r="F35" s="45"/>
      <c r="G35" s="46"/>
      <c r="H35" s="15"/>
      <c r="J35" s="15"/>
      <c r="K35" s="15"/>
      <c r="L35" s="15"/>
      <c r="M35" s="15"/>
    </row>
    <row r="36" spans="1:13">
      <c r="A36" s="15"/>
      <c r="B36" s="44"/>
      <c r="C36" s="29"/>
      <c r="D36" s="29"/>
      <c r="E36" s="29"/>
      <c r="F36" s="45"/>
      <c r="G36" s="46"/>
      <c r="H36" s="15"/>
      <c r="J36" s="15"/>
      <c r="K36" s="15"/>
      <c r="L36" s="15"/>
      <c r="M36" s="15"/>
    </row>
    <row r="37" spans="1:13">
      <c r="A37" s="15"/>
      <c r="B37" s="44"/>
      <c r="C37" s="29"/>
      <c r="D37" s="29"/>
      <c r="E37" s="29"/>
      <c r="F37" s="45"/>
      <c r="G37" s="46"/>
      <c r="H37" s="15"/>
      <c r="J37" s="15"/>
      <c r="K37" s="15"/>
      <c r="L37" s="15"/>
      <c r="M37" s="15"/>
    </row>
    <row r="38" spans="1:13">
      <c r="A38" s="15"/>
      <c r="B38" s="44"/>
      <c r="C38" s="29"/>
      <c r="D38" s="29"/>
      <c r="E38" s="29"/>
      <c r="F38" s="45"/>
      <c r="G38" s="46"/>
      <c r="H38" s="15"/>
      <c r="J38" s="15"/>
      <c r="K38" s="15"/>
      <c r="L38" s="15"/>
      <c r="M38" s="15"/>
    </row>
    <row r="39" spans="1:13">
      <c r="A39" s="15"/>
      <c r="B39" s="44"/>
      <c r="C39" s="29"/>
      <c r="D39" s="29"/>
      <c r="E39" s="29"/>
      <c r="F39" s="45"/>
      <c r="G39" s="46"/>
      <c r="H39" s="15"/>
      <c r="J39" s="15"/>
      <c r="K39" s="15"/>
      <c r="L39" s="15"/>
      <c r="M39" s="15"/>
    </row>
    <row r="40" spans="1:13">
      <c r="A40" s="15"/>
      <c r="B40" s="44"/>
      <c r="C40" s="29"/>
      <c r="D40" s="29"/>
      <c r="E40" s="29"/>
      <c r="F40" s="45"/>
      <c r="G40" s="46"/>
      <c r="H40" s="15"/>
      <c r="J40" s="15"/>
      <c r="K40" s="15"/>
      <c r="L40" s="15"/>
      <c r="M40" s="15"/>
    </row>
    <row r="41" spans="1:13">
      <c r="A41" s="15"/>
      <c r="B41" s="44"/>
      <c r="C41" s="29"/>
      <c r="D41" s="29"/>
      <c r="E41" s="29"/>
      <c r="F41" s="45"/>
      <c r="G41" s="46"/>
      <c r="H41" s="15"/>
      <c r="J41" s="15"/>
      <c r="K41" s="15"/>
      <c r="L41" s="15"/>
      <c r="M41" s="15"/>
    </row>
    <row r="42" spans="1:13">
      <c r="A42" s="15"/>
      <c r="B42" s="35"/>
      <c r="C42" s="36"/>
      <c r="D42" s="36"/>
      <c r="E42" s="36"/>
      <c r="F42" s="37"/>
      <c r="G42" s="47"/>
      <c r="H42" s="15"/>
      <c r="J42" s="15"/>
      <c r="K42" s="15"/>
      <c r="L42" s="15"/>
      <c r="M42" s="15"/>
    </row>
    <row r="43" spans="1:13">
      <c r="A43" s="15"/>
      <c r="B43" s="15"/>
      <c r="C43" s="15"/>
      <c r="D43" s="15"/>
      <c r="E43" s="15"/>
      <c r="F43" s="15"/>
      <c r="G43" s="15"/>
      <c r="H43" s="15"/>
      <c r="J43" s="15"/>
      <c r="K43" s="15"/>
      <c r="L43" s="15"/>
      <c r="M43" s="15"/>
    </row>
    <row r="44" spans="1:13">
      <c r="J44" s="15"/>
      <c r="K44" s="15"/>
      <c r="L44" s="15"/>
      <c r="M44" s="15"/>
    </row>
    <row r="45" spans="1:13">
      <c r="J45" s="15"/>
      <c r="K45" s="15"/>
      <c r="L45" s="15"/>
      <c r="M45" s="15"/>
    </row>
    <row r="46" spans="1:13">
      <c r="A46" s="15"/>
      <c r="H46" s="15"/>
      <c r="J46" s="15"/>
      <c r="K46" s="15"/>
      <c r="L46" s="15"/>
      <c r="M46" s="15"/>
    </row>
    <row r="47" spans="1:13">
      <c r="A47" s="15"/>
      <c r="B47" s="15"/>
      <c r="C47" s="15"/>
      <c r="D47" s="15"/>
      <c r="E47" s="15"/>
      <c r="F47" s="15"/>
      <c r="G47" s="15"/>
      <c r="H47" s="15"/>
      <c r="J47" s="15"/>
      <c r="K47" s="15"/>
      <c r="L47" s="15"/>
      <c r="M47" s="15"/>
    </row>
    <row r="48" spans="1:13">
      <c r="H48" s="15"/>
      <c r="J48" s="15"/>
      <c r="K48" s="15"/>
      <c r="L48" s="15"/>
      <c r="M48" s="15"/>
    </row>
    <row r="49" spans="1:13">
      <c r="H49" s="15"/>
      <c r="J49" s="15"/>
      <c r="K49" s="15"/>
      <c r="L49" s="15"/>
      <c r="M49" s="15"/>
    </row>
    <row r="50" spans="1:13">
      <c r="I50" s="15"/>
      <c r="J50" s="15"/>
      <c r="K50" s="15"/>
      <c r="L50" s="15"/>
      <c r="M50" s="15"/>
    </row>
    <row r="51" spans="1:13">
      <c r="I51" s="15"/>
      <c r="J51" s="15"/>
      <c r="K51" s="15"/>
      <c r="L51" s="15"/>
      <c r="M51" s="15"/>
    </row>
    <row r="52" spans="1:13">
      <c r="I52" s="15"/>
      <c r="J52" s="15"/>
      <c r="K52" s="15"/>
      <c r="L52" s="15"/>
      <c r="M52" s="15"/>
    </row>
    <row r="53" spans="1:13">
      <c r="I53" s="15"/>
      <c r="J53" s="15"/>
      <c r="K53" s="15"/>
      <c r="L53" s="15"/>
      <c r="M53" s="15"/>
    </row>
    <row r="54" spans="1:13">
      <c r="I54" s="15"/>
      <c r="J54" s="15"/>
      <c r="K54" s="15"/>
      <c r="L54" s="15"/>
      <c r="M54" s="15"/>
    </row>
    <row r="55" spans="1:13">
      <c r="I55" s="15"/>
      <c r="J55" s="15"/>
      <c r="K55" s="15"/>
      <c r="L55" s="15"/>
      <c r="M55" s="15"/>
    </row>
    <row r="56" spans="1:13">
      <c r="A56" s="15"/>
      <c r="B56" s="15"/>
      <c r="C56" s="15"/>
      <c r="D56" s="15"/>
      <c r="E56" s="15"/>
      <c r="F56" s="15"/>
      <c r="G56" s="15"/>
      <c r="H56" s="15"/>
      <c r="I56" s="15"/>
      <c r="J56" s="15"/>
      <c r="K56" s="15"/>
      <c r="L56" s="15"/>
      <c r="M56" s="15"/>
    </row>
    <row r="57" spans="1:13">
      <c r="A57" s="15"/>
      <c r="B57" s="15"/>
      <c r="C57" s="15"/>
      <c r="D57" s="15"/>
      <c r="E57" s="15"/>
      <c r="F57" s="15"/>
      <c r="G57" s="15"/>
      <c r="H57" s="15"/>
      <c r="I57" s="15"/>
      <c r="J57" s="15"/>
      <c r="K57" s="15"/>
      <c r="L57" s="15"/>
      <c r="M57" s="15"/>
    </row>
    <row r="58" spans="1:13">
      <c r="A58" s="15"/>
      <c r="B58" s="15"/>
      <c r="C58" s="15"/>
      <c r="D58" s="15"/>
      <c r="E58" s="15"/>
      <c r="F58" s="15"/>
      <c r="G58" s="15"/>
      <c r="H58" s="15"/>
      <c r="I58" s="15"/>
      <c r="J58" s="15"/>
      <c r="K58" s="15"/>
      <c r="L58" s="15"/>
      <c r="M58" s="15"/>
    </row>
    <row r="59" spans="1:13">
      <c r="A59" s="15"/>
      <c r="B59" s="15"/>
      <c r="C59" s="15"/>
      <c r="D59" s="15"/>
      <c r="E59" s="15"/>
      <c r="F59" s="15"/>
      <c r="G59" s="15"/>
      <c r="H59" s="15"/>
      <c r="I59" s="15"/>
      <c r="J59" s="15"/>
      <c r="K59" s="15"/>
      <c r="L59" s="15"/>
      <c r="M59" s="15"/>
    </row>
    <row r="60" spans="1:13">
      <c r="A60" s="15"/>
      <c r="B60" s="15"/>
      <c r="C60" s="15"/>
      <c r="D60" s="15"/>
      <c r="E60" s="15"/>
      <c r="F60" s="15"/>
      <c r="G60" s="15"/>
      <c r="H60" s="15"/>
      <c r="I60" s="15"/>
      <c r="J60" s="15"/>
      <c r="K60" s="15"/>
      <c r="L60" s="15"/>
      <c r="M60" s="15"/>
    </row>
    <row r="61" spans="1:13">
      <c r="A61" s="15"/>
      <c r="B61" s="15"/>
      <c r="C61" s="15"/>
      <c r="D61" s="15"/>
      <c r="E61" s="15"/>
      <c r="F61" s="15"/>
      <c r="G61" s="15"/>
      <c r="H61" s="15"/>
      <c r="I61" s="15"/>
      <c r="J61" s="15"/>
      <c r="K61" s="15"/>
      <c r="L61" s="15"/>
      <c r="M61" s="15"/>
    </row>
    <row r="62" spans="1:13">
      <c r="A62" s="15"/>
      <c r="B62" s="15"/>
      <c r="C62" s="15"/>
      <c r="D62" s="15"/>
      <c r="E62" s="15"/>
      <c r="F62" s="15"/>
      <c r="G62" s="15"/>
      <c r="H62" s="15"/>
      <c r="I62" s="15"/>
      <c r="J62" s="15"/>
      <c r="K62" s="15"/>
      <c r="L62" s="15"/>
      <c r="M62" s="15"/>
    </row>
    <row r="63" spans="1:13">
      <c r="A63" s="15"/>
      <c r="B63" s="15"/>
      <c r="C63" s="15"/>
      <c r="D63" s="15"/>
      <c r="E63" s="15"/>
      <c r="F63" s="15"/>
      <c r="G63" s="15"/>
      <c r="H63" s="15"/>
      <c r="I63" s="15"/>
      <c r="J63" s="15"/>
      <c r="K63" s="15"/>
      <c r="L63" s="15"/>
      <c r="M63" s="15"/>
    </row>
    <row r="64" spans="1:13">
      <c r="A64" s="15"/>
      <c r="B64" s="15"/>
      <c r="C64" s="15"/>
      <c r="D64" s="15"/>
      <c r="E64" s="15"/>
      <c r="F64" s="15"/>
      <c r="G64" s="15"/>
      <c r="H64" s="15"/>
      <c r="I64" s="15"/>
      <c r="J64" s="15"/>
      <c r="K64" s="15"/>
      <c r="L64" s="15"/>
      <c r="M64" s="15"/>
    </row>
    <row r="65" spans="1:13">
      <c r="A65" s="15"/>
      <c r="B65" s="15"/>
      <c r="C65" s="15"/>
      <c r="D65" s="15"/>
      <c r="E65" s="15"/>
      <c r="F65" s="15"/>
      <c r="G65" s="15"/>
      <c r="H65" s="15"/>
      <c r="I65" s="15"/>
      <c r="J65" s="15"/>
      <c r="K65" s="15"/>
      <c r="L65" s="15"/>
      <c r="M65" s="15"/>
    </row>
    <row r="66" spans="1:13">
      <c r="A66" s="15"/>
      <c r="B66" s="15"/>
      <c r="C66" s="15"/>
      <c r="D66" s="15"/>
      <c r="E66" s="15"/>
      <c r="F66" s="15"/>
      <c r="G66" s="15"/>
      <c r="H66" s="15"/>
      <c r="I66" s="15"/>
      <c r="J66" s="15"/>
      <c r="K66" s="15"/>
      <c r="L66" s="15"/>
      <c r="M66" s="15"/>
    </row>
    <row r="67" spans="1:13">
      <c r="A67" s="15"/>
      <c r="B67" s="15"/>
      <c r="C67" s="15"/>
      <c r="D67" s="15"/>
      <c r="E67" s="15"/>
      <c r="F67" s="15"/>
      <c r="G67" s="15"/>
      <c r="H67" s="15"/>
      <c r="I67" s="15"/>
      <c r="J67" s="15"/>
      <c r="K67" s="15"/>
      <c r="L67" s="15"/>
      <c r="M67" s="15"/>
    </row>
    <row r="68" spans="1:13">
      <c r="A68" s="15"/>
      <c r="B68" s="15"/>
      <c r="C68" s="15"/>
      <c r="D68" s="15"/>
      <c r="E68" s="15"/>
      <c r="F68" s="15"/>
      <c r="G68" s="15"/>
      <c r="H68" s="15"/>
      <c r="I68" s="15"/>
      <c r="J68" s="15"/>
      <c r="K68" s="15"/>
      <c r="L68" s="15"/>
      <c r="M68" s="15"/>
    </row>
    <row r="69" spans="1:13">
      <c r="A69" s="15"/>
      <c r="B69" s="15"/>
      <c r="C69" s="15"/>
      <c r="D69" s="15"/>
      <c r="E69" s="15"/>
      <c r="F69" s="15"/>
      <c r="G69" s="15"/>
      <c r="H69" s="15"/>
      <c r="I69" s="15"/>
      <c r="J69" s="15"/>
      <c r="K69" s="15"/>
      <c r="L69" s="15"/>
      <c r="M69" s="15"/>
    </row>
    <row r="70" spans="1:13">
      <c r="A70" s="15"/>
      <c r="B70" s="15"/>
      <c r="C70" s="15"/>
      <c r="D70" s="15"/>
      <c r="E70" s="15"/>
      <c r="F70" s="15"/>
      <c r="G70" s="15"/>
      <c r="H70" s="15"/>
      <c r="I70" s="15"/>
      <c r="J70" s="15"/>
      <c r="K70" s="15"/>
      <c r="L70" s="15"/>
      <c r="M70" s="15"/>
    </row>
    <row r="71" spans="1:13">
      <c r="A71" s="15"/>
      <c r="B71" s="15"/>
      <c r="C71" s="15"/>
      <c r="D71" s="15"/>
      <c r="E71" s="15"/>
      <c r="F71" s="15"/>
      <c r="G71" s="15"/>
      <c r="H71" s="15"/>
      <c r="I71" s="15"/>
      <c r="J71" s="15"/>
      <c r="K71" s="15"/>
      <c r="L71" s="15"/>
      <c r="M71" s="15"/>
    </row>
    <row r="72" spans="1:13">
      <c r="A72" s="15"/>
      <c r="B72" s="15"/>
      <c r="C72" s="15"/>
      <c r="D72" s="15"/>
      <c r="E72" s="15"/>
      <c r="F72" s="15"/>
      <c r="G72" s="15"/>
      <c r="H72" s="15"/>
      <c r="I72" s="15"/>
      <c r="J72" s="15"/>
      <c r="K72" s="15"/>
      <c r="L72" s="15"/>
      <c r="M72" s="15"/>
    </row>
    <row r="73" spans="1:13">
      <c r="A73" s="15"/>
      <c r="B73" s="15"/>
      <c r="C73" s="15"/>
      <c r="D73" s="15"/>
      <c r="E73" s="15"/>
      <c r="F73" s="15"/>
      <c r="G73" s="15"/>
      <c r="H73" s="15"/>
      <c r="I73" s="15"/>
      <c r="J73" s="15"/>
      <c r="K73" s="15"/>
      <c r="L73" s="15"/>
      <c r="M73" s="15"/>
    </row>
    <row r="74" spans="1:13">
      <c r="A74" s="15"/>
      <c r="B74" s="15"/>
      <c r="C74" s="15"/>
      <c r="D74" s="15"/>
      <c r="E74" s="15"/>
      <c r="F74" s="15"/>
      <c r="G74" s="15"/>
      <c r="H74" s="15"/>
      <c r="I74" s="15"/>
      <c r="J74" s="15"/>
      <c r="K74" s="15"/>
      <c r="L74" s="15"/>
      <c r="M74" s="15"/>
    </row>
    <row r="75" spans="1:13">
      <c r="A75" s="15"/>
      <c r="B75" s="15"/>
      <c r="C75" s="15"/>
      <c r="D75" s="15"/>
      <c r="E75" s="15"/>
      <c r="F75" s="15"/>
      <c r="G75" s="15"/>
      <c r="H75" s="15"/>
      <c r="I75" s="15"/>
      <c r="J75" s="15"/>
      <c r="K75" s="15"/>
      <c r="L75" s="15"/>
      <c r="M75" s="15"/>
    </row>
    <row r="76" spans="1:13">
      <c r="A76" s="15"/>
      <c r="B76" s="15"/>
      <c r="C76" s="15"/>
      <c r="D76" s="15"/>
      <c r="E76" s="15"/>
      <c r="F76" s="15"/>
      <c r="G76" s="15"/>
      <c r="H76" s="15"/>
      <c r="I76" s="15"/>
      <c r="J76" s="15"/>
      <c r="K76" s="15"/>
      <c r="L76" s="15"/>
      <c r="M76" s="15"/>
    </row>
    <row r="77" spans="1:13">
      <c r="A77" s="15"/>
      <c r="B77" s="15"/>
      <c r="C77" s="15"/>
      <c r="D77" s="15"/>
      <c r="E77" s="15"/>
      <c r="F77" s="15"/>
      <c r="G77" s="15"/>
      <c r="H77" s="15"/>
      <c r="I77" s="15"/>
      <c r="J77" s="15"/>
      <c r="K77" s="15"/>
      <c r="L77" s="15"/>
      <c r="M77" s="15"/>
    </row>
    <row r="78" spans="1:13">
      <c r="A78" s="15"/>
      <c r="B78" s="15"/>
      <c r="C78" s="15"/>
      <c r="D78" s="15"/>
      <c r="E78" s="15"/>
      <c r="F78" s="15"/>
      <c r="G78" s="15"/>
      <c r="H78" s="15"/>
      <c r="I78" s="15"/>
      <c r="J78" s="15"/>
      <c r="K78" s="15"/>
      <c r="L78" s="15"/>
      <c r="M78" s="15"/>
    </row>
    <row r="79" spans="1:13">
      <c r="A79" s="15"/>
      <c r="B79" s="15"/>
      <c r="C79" s="15"/>
      <c r="D79" s="15"/>
      <c r="E79" s="15"/>
      <c r="F79" s="15"/>
      <c r="G79" s="15"/>
      <c r="H79" s="15"/>
      <c r="I79" s="15"/>
      <c r="J79" s="15"/>
      <c r="K79" s="15"/>
      <c r="L79" s="15"/>
      <c r="M79" s="15"/>
    </row>
    <row r="80" spans="1:13">
      <c r="A80" s="24"/>
      <c r="B80" s="48"/>
      <c r="C80" s="49"/>
      <c r="D80" s="23"/>
      <c r="E80" s="15"/>
      <c r="F80" s="15"/>
      <c r="G80" s="15"/>
      <c r="H80" s="15"/>
      <c r="I80" s="15"/>
      <c r="J80" s="15"/>
      <c r="K80" s="15"/>
      <c r="L80" s="15"/>
      <c r="M80" s="15"/>
    </row>
    <row r="81" spans="1:13" ht="13.8" customHeight="1">
      <c r="A81" s="24"/>
      <c r="B81" s="48"/>
      <c r="C81" s="50"/>
      <c r="D81" s="15"/>
      <c r="E81" s="15"/>
      <c r="F81" s="15"/>
      <c r="G81" s="15"/>
      <c r="H81" s="15"/>
      <c r="I81" s="15"/>
      <c r="J81" s="15"/>
      <c r="K81" s="15"/>
      <c r="L81" s="15"/>
      <c r="M81" s="15"/>
    </row>
    <row r="82" spans="1:13" ht="13.8" customHeight="1">
      <c r="A82" s="24"/>
      <c r="B82" s="48"/>
      <c r="C82" s="50"/>
      <c r="D82" s="15"/>
      <c r="E82" s="15"/>
      <c r="F82" s="15"/>
      <c r="G82" s="15"/>
      <c r="H82" s="15"/>
      <c r="I82" s="15"/>
      <c r="J82" s="15"/>
      <c r="K82" s="15"/>
      <c r="L82" s="15"/>
      <c r="M82" s="15"/>
    </row>
    <row r="83" spans="1:13" ht="13.8" customHeight="1">
      <c r="A83" s="24"/>
      <c r="B83" s="48"/>
      <c r="C83" s="50"/>
      <c r="D83" s="15"/>
      <c r="E83" s="15"/>
      <c r="F83" s="15"/>
      <c r="G83" s="15"/>
      <c r="H83" s="15"/>
      <c r="I83" s="15"/>
      <c r="J83" s="15"/>
      <c r="K83" s="15"/>
      <c r="L83" s="15"/>
      <c r="M83" s="15"/>
    </row>
    <row r="84" spans="1:13" ht="13.8" customHeight="1">
      <c r="A84" s="24"/>
      <c r="B84" s="48"/>
      <c r="C84" s="50"/>
      <c r="D84" s="15"/>
      <c r="E84" s="15"/>
      <c r="F84" s="15"/>
      <c r="G84" s="15"/>
      <c r="H84" s="15"/>
      <c r="I84" s="15"/>
      <c r="J84" s="15"/>
      <c r="K84" s="15"/>
      <c r="L84" s="15"/>
      <c r="M84" s="15"/>
    </row>
    <row r="85" spans="1:13" ht="13.8" customHeight="1">
      <c r="A85" s="24"/>
      <c r="B85" s="48"/>
      <c r="C85" s="50"/>
      <c r="D85" s="15"/>
      <c r="E85" s="15"/>
      <c r="F85" s="15"/>
      <c r="G85" s="15"/>
      <c r="H85" s="15"/>
      <c r="I85" s="15"/>
      <c r="J85" s="15"/>
      <c r="K85" s="15"/>
      <c r="L85" s="15"/>
      <c r="M85" s="15"/>
    </row>
    <row r="86" spans="1:13" ht="13.8" customHeight="1">
      <c r="A86" s="24"/>
      <c r="B86" s="48"/>
      <c r="C86" s="50"/>
      <c r="D86" s="15"/>
      <c r="E86" s="15"/>
      <c r="F86" s="15"/>
      <c r="G86" s="15"/>
      <c r="H86" s="15"/>
      <c r="I86" s="15"/>
      <c r="J86" s="15"/>
      <c r="K86" s="15"/>
      <c r="L86" s="15"/>
      <c r="M86" s="15"/>
    </row>
    <row r="87" spans="1:13" ht="13.8" customHeight="1">
      <c r="A87" s="24"/>
      <c r="B87" s="48"/>
      <c r="C87" s="50"/>
      <c r="D87" s="15"/>
      <c r="E87" s="15"/>
      <c r="F87" s="15"/>
      <c r="G87" s="15"/>
      <c r="H87" s="15"/>
      <c r="I87" s="15"/>
      <c r="J87" s="15"/>
      <c r="K87" s="15"/>
      <c r="L87" s="15"/>
      <c r="M87" s="15"/>
    </row>
    <row r="88" spans="1:13" ht="13.8" customHeight="1">
      <c r="A88" s="24"/>
      <c r="B88" s="48"/>
      <c r="C88" s="50"/>
      <c r="D88" s="15"/>
      <c r="E88" s="15"/>
      <c r="F88" s="15"/>
      <c r="G88" s="15"/>
      <c r="H88" s="15"/>
      <c r="I88" s="15"/>
      <c r="J88" s="15"/>
      <c r="K88" s="15"/>
      <c r="L88" s="15"/>
      <c r="M88" s="15"/>
    </row>
    <row r="89" spans="1:13" ht="13.8" customHeight="1">
      <c r="A89" s="24"/>
      <c r="B89" s="48"/>
      <c r="C89" s="50"/>
      <c r="D89" s="15"/>
      <c r="E89" s="15"/>
      <c r="F89" s="15"/>
      <c r="G89" s="15"/>
      <c r="H89" s="15"/>
      <c r="I89" s="15"/>
      <c r="J89" s="15"/>
      <c r="K89" s="15"/>
      <c r="L89" s="15"/>
      <c r="M89" s="15"/>
    </row>
    <row r="90" spans="1:13" ht="13.8" customHeight="1">
      <c r="A90" s="24"/>
      <c r="B90" s="48"/>
      <c r="C90" s="50"/>
      <c r="D90" s="15"/>
      <c r="E90" s="15"/>
      <c r="F90" s="15"/>
      <c r="G90" s="15"/>
      <c r="H90" s="15"/>
      <c r="I90" s="15"/>
      <c r="J90" s="15"/>
      <c r="K90" s="15"/>
      <c r="L90" s="15"/>
      <c r="M90" s="15"/>
    </row>
    <row r="91" spans="1:13" ht="13.8" customHeight="1">
      <c r="A91" s="24"/>
      <c r="B91" s="48"/>
      <c r="C91" s="50"/>
      <c r="D91" s="15"/>
      <c r="E91" s="15"/>
      <c r="F91" s="15"/>
      <c r="G91" s="15"/>
      <c r="H91" s="15"/>
      <c r="I91" s="15"/>
      <c r="J91" s="15"/>
      <c r="K91" s="15"/>
      <c r="L91" s="15"/>
      <c r="M91" s="15"/>
    </row>
    <row r="92" spans="1:13" ht="13.8" customHeight="1">
      <c r="A92" s="24"/>
      <c r="B92" s="48"/>
      <c r="C92" s="50"/>
      <c r="D92" s="15"/>
      <c r="E92" s="15"/>
      <c r="F92" s="15"/>
      <c r="G92" s="15"/>
      <c r="H92" s="15"/>
      <c r="I92" s="15"/>
      <c r="J92" s="15"/>
      <c r="K92" s="15"/>
      <c r="L92" s="15"/>
      <c r="M92" s="15"/>
    </row>
    <row r="93" spans="1:13" ht="13.8" customHeight="1">
      <c r="A93" s="24"/>
      <c r="B93" s="48"/>
      <c r="C93" s="50"/>
      <c r="D93" s="15"/>
      <c r="E93" s="15"/>
      <c r="F93" s="15"/>
      <c r="G93" s="15"/>
      <c r="H93" s="15"/>
      <c r="I93" s="15"/>
      <c r="J93" s="15"/>
      <c r="K93" s="15"/>
      <c r="L93" s="15"/>
      <c r="M93" s="15"/>
    </row>
    <row r="94" spans="1:13" ht="13.8" customHeight="1">
      <c r="A94" s="24"/>
      <c r="B94" s="48"/>
      <c r="C94" s="50"/>
      <c r="D94" s="15"/>
      <c r="E94" s="15"/>
      <c r="F94" s="15"/>
      <c r="G94" s="15"/>
      <c r="H94" s="15"/>
      <c r="I94" s="15"/>
      <c r="J94" s="15"/>
      <c r="K94" s="15"/>
      <c r="L94" s="15"/>
      <c r="M94" s="15"/>
    </row>
  </sheetData>
  <mergeCells count="15">
    <mergeCell ref="D6:E6"/>
    <mergeCell ref="D16:E16"/>
    <mergeCell ref="B1:E1"/>
    <mergeCell ref="D2:E2"/>
    <mergeCell ref="D15:E15"/>
    <mergeCell ref="D11:E11"/>
    <mergeCell ref="D13:E13"/>
    <mergeCell ref="D3:E3"/>
    <mergeCell ref="D5:E5"/>
    <mergeCell ref="D14:E14"/>
    <mergeCell ref="B6:B10"/>
    <mergeCell ref="B11:B14"/>
    <mergeCell ref="B15:B16"/>
    <mergeCell ref="B2:B5"/>
    <mergeCell ref="D12:E12"/>
  </mergeCells>
  <phoneticPr fontId="34" type="noConversion"/>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5"/>
  <sheetViews>
    <sheetView workbookViewId="0">
      <selection activeCell="I8" sqref="I8"/>
    </sheetView>
  </sheetViews>
  <sheetFormatPr defaultColWidth="8.77734375" defaultRowHeight="14.4"/>
  <cols>
    <col min="1" max="1" width="8.77734375" style="1" customWidth="1"/>
    <col min="2" max="2" width="12.21875" style="1" customWidth="1"/>
    <col min="3" max="3" width="10.44140625" style="1" bestFit="1" customWidth="1"/>
    <col min="4" max="4" width="11.77734375" style="1" customWidth="1"/>
    <col min="5" max="5" width="14.21875" style="1" customWidth="1"/>
    <col min="6" max="6" width="11.5546875" style="1" customWidth="1"/>
    <col min="7" max="7" width="11.6640625" style="1" customWidth="1"/>
    <col min="8" max="8" width="22.77734375" style="1" customWidth="1"/>
    <col min="9" max="11" width="8.77734375" style="1" customWidth="1"/>
    <col min="12" max="16384" width="8.77734375" style="1"/>
  </cols>
  <sheetData>
    <row r="1" spans="1:8" ht="52.8" customHeight="1">
      <c r="A1" s="213" t="s">
        <v>290</v>
      </c>
      <c r="B1" s="159"/>
      <c r="C1" s="159"/>
      <c r="D1" s="159"/>
      <c r="E1" s="159"/>
      <c r="F1" s="159"/>
      <c r="G1" s="159"/>
      <c r="H1" s="160"/>
    </row>
    <row r="2" spans="1:8" ht="42" customHeight="1">
      <c r="A2" s="2" t="s">
        <v>4</v>
      </c>
      <c r="B2" s="2" t="s">
        <v>5</v>
      </c>
      <c r="C2" s="2" t="s">
        <v>6</v>
      </c>
      <c r="D2" s="2" t="s">
        <v>7</v>
      </c>
      <c r="E2" s="2" t="s">
        <v>8</v>
      </c>
      <c r="F2" s="218" t="s">
        <v>9</v>
      </c>
      <c r="G2" s="159"/>
      <c r="H2" s="160"/>
    </row>
    <row r="3" spans="1:8" ht="14.55" customHeight="1">
      <c r="A3" s="3" t="s">
        <v>22</v>
      </c>
      <c r="B3" s="4" t="s">
        <v>291</v>
      </c>
      <c r="C3" s="5">
        <v>45809</v>
      </c>
      <c r="D3" s="125" t="s">
        <v>292</v>
      </c>
      <c r="E3" s="4" t="s">
        <v>13</v>
      </c>
      <c r="F3" s="216" t="s">
        <v>293</v>
      </c>
      <c r="G3" s="162"/>
      <c r="H3" s="217"/>
    </row>
    <row r="4" spans="1:8" ht="14.55" customHeight="1">
      <c r="A4" s="3" t="s">
        <v>294</v>
      </c>
      <c r="B4" s="4" t="s">
        <v>295</v>
      </c>
      <c r="C4" s="5">
        <v>45926</v>
      </c>
      <c r="D4" s="125" t="s">
        <v>292</v>
      </c>
      <c r="E4" s="4" t="s">
        <v>13</v>
      </c>
      <c r="F4" s="216" t="s">
        <v>296</v>
      </c>
      <c r="G4" s="162"/>
      <c r="H4" s="217"/>
    </row>
    <row r="5" spans="1:8" ht="14.55" customHeight="1">
      <c r="A5" s="3" t="s">
        <v>297</v>
      </c>
      <c r="B5" s="4" t="s">
        <v>295</v>
      </c>
      <c r="C5" s="5">
        <v>45941</v>
      </c>
      <c r="D5" s="125" t="s">
        <v>292</v>
      </c>
      <c r="E5" s="4" t="s">
        <v>13</v>
      </c>
      <c r="F5" s="216" t="s">
        <v>298</v>
      </c>
      <c r="G5" s="162"/>
      <c r="H5" s="217"/>
    </row>
    <row r="6" spans="1:8" ht="14.55" customHeight="1">
      <c r="A6" s="6"/>
      <c r="B6" s="7"/>
      <c r="C6" s="7"/>
      <c r="D6" s="7"/>
      <c r="E6" s="8"/>
      <c r="F6" s="215"/>
      <c r="G6" s="162"/>
      <c r="H6" s="163"/>
    </row>
    <row r="7" spans="1:8" ht="14.55" customHeight="1">
      <c r="A7" s="6"/>
      <c r="B7" s="7"/>
      <c r="C7" s="7"/>
      <c r="D7" s="7"/>
      <c r="E7" s="8"/>
      <c r="F7" s="161"/>
      <c r="G7" s="162"/>
      <c r="H7" s="163"/>
    </row>
    <row r="8" spans="1:8" ht="14.55" customHeight="1">
      <c r="A8" s="6"/>
      <c r="B8" s="8"/>
      <c r="C8" s="8"/>
      <c r="D8" s="8"/>
      <c r="E8" s="8"/>
      <c r="F8" s="161"/>
      <c r="G8" s="162"/>
      <c r="H8" s="163"/>
    </row>
    <row r="9" spans="1:8" ht="14.55" customHeight="1">
      <c r="A9" s="6"/>
      <c r="B9" s="8"/>
      <c r="C9" s="8"/>
      <c r="D9" s="8"/>
      <c r="E9" s="8"/>
      <c r="F9" s="219"/>
      <c r="G9" s="162"/>
      <c r="H9" s="163"/>
    </row>
    <row r="10" spans="1:8" ht="14.55" customHeight="1">
      <c r="A10" s="9"/>
      <c r="B10" s="8"/>
      <c r="C10" s="8"/>
      <c r="D10" s="8"/>
      <c r="E10" s="8"/>
      <c r="F10" s="214"/>
      <c r="G10" s="162"/>
      <c r="H10" s="163"/>
    </row>
    <row r="11" spans="1:8" ht="14.55" customHeight="1">
      <c r="A11" s="9"/>
      <c r="B11" s="8"/>
      <c r="C11" s="8"/>
      <c r="D11" s="8"/>
      <c r="E11" s="8"/>
      <c r="F11" s="214"/>
      <c r="G11" s="162"/>
      <c r="H11" s="163"/>
    </row>
    <row r="12" spans="1:8" ht="14.55" customHeight="1">
      <c r="A12" s="9"/>
      <c r="B12" s="8"/>
      <c r="C12" s="8"/>
      <c r="D12" s="8"/>
      <c r="E12" s="8"/>
      <c r="F12" s="214"/>
      <c r="G12" s="162"/>
      <c r="H12" s="163"/>
    </row>
    <row r="13" spans="1:8" ht="14.55" customHeight="1">
      <c r="A13" s="10"/>
      <c r="B13" s="7"/>
      <c r="C13" s="7"/>
      <c r="D13" s="7"/>
      <c r="E13" s="8"/>
      <c r="F13" s="214"/>
      <c r="G13" s="162"/>
      <c r="H13" s="163"/>
    </row>
    <row r="14" spans="1:8" ht="14.55" customHeight="1">
      <c r="A14" s="10"/>
      <c r="B14" s="7"/>
      <c r="C14" s="7"/>
      <c r="D14" s="7"/>
      <c r="E14" s="8"/>
      <c r="F14" s="214"/>
      <c r="G14" s="162"/>
      <c r="H14" s="163"/>
    </row>
    <row r="15" spans="1:8" ht="14.55" customHeight="1">
      <c r="A15" s="11"/>
      <c r="B15" s="12"/>
      <c r="C15" s="12"/>
      <c r="D15" s="12"/>
      <c r="E15" s="13"/>
      <c r="F15" s="220"/>
      <c r="G15" s="165"/>
      <c r="H15" s="166"/>
    </row>
  </sheetData>
  <mergeCells count="15">
    <mergeCell ref="F15:H15"/>
    <mergeCell ref="F11:H11"/>
    <mergeCell ref="A1:H1"/>
    <mergeCell ref="F10:H10"/>
    <mergeCell ref="F6:H6"/>
    <mergeCell ref="F5:H5"/>
    <mergeCell ref="F14:H14"/>
    <mergeCell ref="F13:H13"/>
    <mergeCell ref="F8:H8"/>
    <mergeCell ref="F4:H4"/>
    <mergeCell ref="F2:H2"/>
    <mergeCell ref="F9:H9"/>
    <mergeCell ref="F7:H7"/>
    <mergeCell ref="F12:H12"/>
    <mergeCell ref="F3:H3"/>
  </mergeCells>
  <phoneticPr fontId="3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8</vt:i4>
      </vt:variant>
      <vt:variant>
        <vt:lpstr>命名范围</vt:lpstr>
      </vt:variant>
      <vt:variant>
        <vt:i4>2</vt:i4>
      </vt:variant>
    </vt:vector>
  </HeadingPairs>
  <TitlesOfParts>
    <vt:vector size="10" baseType="lpstr">
      <vt:lpstr>Cover</vt:lpstr>
      <vt:lpstr>Change History</vt:lpstr>
      <vt:lpstr>Reference</vt:lpstr>
      <vt:lpstr>Test Case Report</vt:lpstr>
      <vt:lpstr>Traceability</vt:lpstr>
      <vt:lpstr>General Information</vt:lpstr>
      <vt:lpstr>Summary</vt:lpstr>
      <vt:lpstr>Template Version</vt:lpstr>
      <vt:lpstr>'General Information'!_Toc40799055</vt:lpstr>
      <vt:lpstr>'General Information'!_Toc40799057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Torque Sensor - Detailed FMEA</dc:title>
  <dc:subject>FordC1 C344 EPS - Detailed Level FMEA</dc:subject>
  <dc:creator>Ravikumar Sathyanathan</dc:creator>
  <cp:lastModifiedBy>亚朋 倘</cp:lastModifiedBy>
  <cp:lastPrinted>2007-04-29T05:29:00Z</cp:lastPrinted>
  <dcterms:created xsi:type="dcterms:W3CDTF">2000-06-10T19:52:00Z</dcterms:created>
  <dcterms:modified xsi:type="dcterms:W3CDTF">2025-12-05T08:12:05Z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CComponent">
    <vt:lpwstr>/FordC1_C520/FMEA/Application/FEC3-AMCA0-RC1/DetailedLevel/TorqueSensor-Detailed_FMEA.xls</vt:lpwstr>
  </property>
  <property fmtid="{D5CDD505-2E9C-101B-9397-08002B2CF9AE}" pid="3" name="ACDate">
    <vt:lpwstr>25/01/2011 09:57:17</vt:lpwstr>
  </property>
  <property fmtid="{D5CDD505-2E9C-101B-9397-08002B2CF9AE}" pid="4" name="ACUser">
    <vt:lpwstr>Mayank_Choudhury</vt:lpwstr>
  </property>
  <property fmtid="{D5CDD505-2E9C-101B-9397-08002B2CF9AE}" pid="5" name="ACVersion">
    <vt:lpwstr>001</vt:lpwstr>
  </property>
  <property fmtid="{D5CDD505-2E9C-101B-9397-08002B2CF9AE}" pid="6" name="KSOProductBuildVer">
    <vt:lpwstr>2052-12.1.0.20305</vt:lpwstr>
  </property>
  <property fmtid="{D5CDD505-2E9C-101B-9397-08002B2CF9AE}" pid="7" name="ICV">
    <vt:lpwstr>AE5D1D0FE1ED464E9704A2F263CB4885_12</vt:lpwstr>
  </property>
</Properties>
</file>